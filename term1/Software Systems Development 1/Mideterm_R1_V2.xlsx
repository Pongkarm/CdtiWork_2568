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dti365-my.sharepoint.com/personal/6510301019_ms_cdti_ac_th/Documents/ฝึกงาน/ตรวจข้อสอบเด็กปี 2/"/>
    </mc:Choice>
  </mc:AlternateContent>
  <xr:revisionPtr revIDLastSave="68" documentId="13_ncr:1_{F6ECB099-09E9-4849-A44C-105D69F8AFB2}" xr6:coauthVersionLast="47" xr6:coauthVersionMax="47" xr10:uidLastSave="{DAD6420D-5195-47F9-82E3-C32109A4FEA4}"/>
  <bookViews>
    <workbookView xWindow="-108" yWindow="-108" windowWidth="23256" windowHeight="12456" firstSheet="1" activeTab="2" xr2:uid="{78813535-9735-4F0B-911F-505D9B0F7E3C}"/>
  </bookViews>
  <sheets>
    <sheet name="Cover" sheetId="1" state="hidden" r:id="rId1"/>
    <sheet name="ข้อสอบ" sheetId="2" r:id="rId2"/>
    <sheet name="ข้อมูล" sheetId="4" r:id="rId3"/>
    <sheet name="กระดาษทด" sheetId="3" state="hidden" r:id="rId4"/>
    <sheet name="TeacherNote" sheetId="5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5" i="4" l="1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AE65" i="4"/>
  <c r="AF65" i="4"/>
  <c r="AG65" i="4"/>
  <c r="AH65" i="4"/>
  <c r="AI65" i="4"/>
  <c r="AJ65" i="4"/>
  <c r="AK65" i="4"/>
  <c r="AL65" i="4"/>
  <c r="AM65" i="4"/>
  <c r="AN65" i="4"/>
  <c r="AO65" i="4"/>
  <c r="AP65" i="4"/>
  <c r="AQ65" i="4"/>
  <c r="AR65" i="4"/>
  <c r="AS65" i="4"/>
  <c r="AT65" i="4"/>
  <c r="AU65" i="4"/>
  <c r="AV65" i="4"/>
  <c r="AW65" i="4"/>
  <c r="AX65" i="4"/>
  <c r="G65" i="4"/>
  <c r="F65" i="4"/>
  <c r="E65" i="4"/>
  <c r="D65" i="4"/>
  <c r="B64" i="4" l="1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A6" i="4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B5" i="4"/>
  <c r="B60" i="5"/>
  <c r="T4" i="5"/>
  <c r="S4" i="5"/>
  <c r="B43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1" i="5"/>
  <c r="B62" i="5"/>
  <c r="B63" i="5"/>
  <c r="B64" i="5"/>
  <c r="B6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B5" i="5"/>
  <c r="A5" i="5"/>
  <c r="A4" i="2"/>
  <c r="A5" i="2" l="1"/>
  <c r="A6" i="2" l="1"/>
  <c r="A7" i="2" l="1"/>
  <c r="A8" i="2" l="1"/>
  <c r="A9" i="2" l="1"/>
  <c r="A10" i="2" l="1"/>
  <c r="A11" i="2" l="1"/>
  <c r="A12" i="2" l="1"/>
  <c r="A13" i="2" l="1"/>
  <c r="A14" i="2" l="1"/>
  <c r="A15" i="2" l="1"/>
  <c r="A16" i="2" l="1"/>
  <c r="A17" i="2" l="1"/>
  <c r="A18" i="2" l="1"/>
  <c r="A19" i="2" l="1"/>
  <c r="A20" i="2" l="1"/>
  <c r="A21" i="2" s="1"/>
  <c r="A22" i="2" s="1"/>
  <c r="A23" i="2" l="1"/>
  <c r="A24" i="2" l="1"/>
  <c r="A25" i="2" l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Sarayut Chaisuriya</author>
  </authors>
  <commentList>
    <comment ref="D3" authorId="0" shapeId="0" xr:uid="{1885C7EB-0EA8-48E2-A79D-A705712855D5}">
      <text>
        <r>
          <rPr>
            <b/>
            <sz val="9"/>
            <color indexed="81"/>
            <rFont val="Tahoma"/>
            <family val="2"/>
          </rPr>
          <t>Sarayut Chaisuriya:</t>
        </r>
        <r>
          <rPr>
            <sz val="9"/>
            <color indexed="81"/>
            <rFont val="Tahoma"/>
            <family val="2"/>
          </rPr>
          <t xml:space="preserve">
Recall basic facts, definitions, and concepts.eg.,
- List the different types of malware?
- Define a buffer overflow attack.?
Origial Bloom Taxonomy:
1</t>
        </r>
        <r>
          <rPr>
            <b/>
            <sz val="9"/>
            <color indexed="81"/>
            <rFont val="Tahoma"/>
            <family val="2"/>
          </rPr>
          <t>.Remembering</t>
        </r>
        <r>
          <rPr>
            <sz val="9"/>
            <color indexed="81"/>
            <rFont val="Tahoma"/>
            <family val="2"/>
          </rPr>
          <t xml:space="preserve">(basic recall)
• Purpose: Check whether students can remember facts, definitions, or concepts.
• Example Question Types: 
  - What is the definition of [concept]?
  - List the components of [system/process].
  - Identify the correct syntax for [programming function].
• Example Question:
  -What is the function of the chmod command in Linux?
</t>
        </r>
      </text>
    </comment>
    <comment ref="E3" authorId="0" shapeId="0" xr:uid="{721CAFA0-9526-4B00-8FF8-C69FF50088F5}">
      <text>
        <r>
          <rPr>
            <b/>
            <sz val="9"/>
            <color indexed="81"/>
            <rFont val="Tahoma"/>
            <family val="2"/>
          </rPr>
          <t xml:space="preserve">Sarayut Chaisuriya:
</t>
        </r>
        <r>
          <rPr>
            <sz val="9"/>
            <color indexed="81"/>
            <rFont val="Tahoma"/>
            <family val="2"/>
          </rPr>
          <t xml:space="preserve">Explain concepts in your own words. e.g.
- Explain how AES encryption works?
- Explain why a buffer overflow can be exploited by hackers?
- Explain the difference between TCP and UDP?
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Original Bloom Taxonomy
</t>
        </r>
        <r>
          <rPr>
            <b/>
            <sz val="9"/>
            <color indexed="81"/>
            <rFont val="Tahoma"/>
            <family val="2"/>
          </rPr>
          <t>2.Understanding</t>
        </r>
        <r>
          <rPr>
            <sz val="9"/>
            <color indexed="81"/>
            <rFont val="Tahoma"/>
            <family val="2"/>
          </rPr>
          <t xml:space="preserve"> (Comprehension)
• Purpose: Assess the level of understanding and whether students can explain concepts in their own words.
• Example Question Types: 
  - Explain how [process] works.
  - Compare two concepts.
  - Summarize the role of [topic].
• Example Question:
  - Explain the difference between discretionary and mandatory access control in Linux file systems?
</t>
        </r>
      </text>
    </comment>
    <comment ref="F3" authorId="0" shapeId="0" xr:uid="{B5A15020-66DF-467B-ADFA-4427E66CFED0}">
      <text>
        <r>
          <rPr>
            <b/>
            <sz val="9"/>
            <color indexed="81"/>
            <rFont val="Tahoma"/>
            <family val="2"/>
          </rPr>
          <t>Sarayut Chaisuriya:</t>
        </r>
        <r>
          <rPr>
            <sz val="9"/>
            <color indexed="81"/>
            <rFont val="Tahoma"/>
            <family val="2"/>
          </rPr>
          <t xml:space="preserve">
Use knowledge in real-world situations. e.g.
- Write a Python script to encrypt and decrypt a file using AES?
- Analyze the difference between stack-based and heap-based buffer overflow attacks.?
Original Bloom Taxonomy
3.</t>
        </r>
        <r>
          <rPr>
            <b/>
            <sz val="9"/>
            <color indexed="81"/>
            <rFont val="Tahoma"/>
            <family val="2"/>
          </rPr>
          <t>Applying</t>
        </r>
        <r>
          <rPr>
            <sz val="9"/>
            <color indexed="81"/>
            <rFont val="Tahoma"/>
            <family val="2"/>
          </rPr>
          <t xml:space="preserve"> (Contextual Problem-Solving)
• Purpose: Test the ability to use knowledge in a specific situation.
• Example Question Types: 
  - Solve a problem using [concept].
  - Demonstrate how to apply a security control.
  - Modify a piece of code to meet new requirements.
• Example Question:
  - Given the following incorrect file permission settings, how would you adjust them to improve security?
</t>
        </r>
      </text>
    </comment>
    <comment ref="G3" authorId="0" shapeId="0" xr:uid="{0C722F43-B467-43B8-A3F2-E917474BF8F0}">
      <text>
        <r>
          <rPr>
            <b/>
            <sz val="9"/>
            <color indexed="81"/>
            <rFont val="Tahoma"/>
            <family val="2"/>
          </rPr>
          <t xml:space="preserve">Sarayut Chaisuriya:
4. Analyze 
</t>
        </r>
        <r>
          <rPr>
            <sz val="9"/>
            <color indexed="81"/>
            <rFont val="Tahoma"/>
            <family val="2"/>
          </rPr>
          <t xml:space="preserve">Break down problems into components and identify patterns, e.g.,
- Examine a network traffic log and identify signs of a potential cyber attack?
- Analyze the difference between stack-based and heap-based buffer overflow attacks.?
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Original Bloom's Taxonomy
</t>
        </r>
        <r>
          <rPr>
            <b/>
            <sz val="9"/>
            <color indexed="81"/>
            <rFont val="Tahoma"/>
            <family val="2"/>
          </rPr>
          <t xml:space="preserve">4. Analyzing </t>
        </r>
        <r>
          <rPr>
            <sz val="9"/>
            <color indexed="81"/>
            <rFont val="Tahoma"/>
            <family val="2"/>
          </rPr>
          <t>(Breakdown &amp; Interpretation)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• Purpose: Evaluate the ability to break down a situation, compare different approaches, or determine causes/effects.
• Example Question Types: 
  - Why did [incident] occur?
  - Identify weaknesses in a security policy.
  - Compare different solutions to a problem.
• Example Question:
  - A Linux system was compromised because a temporary file was writable by all users. Explain how this happened and suggest a better approach.
</t>
        </r>
      </text>
    </comment>
    <comment ref="H3" authorId="0" shapeId="0" xr:uid="{43683FD2-1455-4B5A-B38F-68F4C1D57D79}">
      <text>
        <r>
          <rPr>
            <b/>
            <sz val="9"/>
            <color indexed="81"/>
            <rFont val="Tahoma"/>
            <family val="2"/>
          </rPr>
          <t xml:space="preserve">Sarayut Chaisuriya:
Justify decisions, assess strengths and weaknesses, e.g.:
- </t>
        </r>
        <r>
          <rPr>
            <sz val="9"/>
            <color indexed="81"/>
            <rFont val="Tahoma"/>
            <family val="2"/>
          </rPr>
          <t xml:space="preserve">Compare the security strengths of RSA vs. ECC encryption.
- Critically assess whether ASLR (Address Space Layout Randomization) effectively mitigates buffer overflow attacks?
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Original Bloom's Taxonomy
</t>
        </r>
        <r>
          <rPr>
            <b/>
            <sz val="9"/>
            <color indexed="81"/>
            <rFont val="Tahoma"/>
            <family val="2"/>
          </rPr>
          <t>5. Evaluating (Judgment &amp; Decision-Making)</t>
        </r>
        <r>
          <rPr>
            <sz val="9"/>
            <color indexed="81"/>
            <rFont val="Tahoma"/>
            <family val="2"/>
          </rPr>
          <t xml:space="preserve">
• Purpose: Test the ability to assess effectiveness and justify decisions.
• Example Question Types: 
  - Justify the best security policy for [scenario].
  - Assess the risks in a given situation.
  - Critique a flawed implementation.
• Example Question:
   - Which authentication method is most suitable for securing SSH access on a shared Linux server? Explain your reasoning.
</t>
        </r>
      </text>
    </comment>
    <comment ref="I3" authorId="0" shapeId="0" xr:uid="{444A39D7-FA6E-4DCA-9871-6A518F427094}">
      <text>
        <r>
          <rPr>
            <b/>
            <sz val="9"/>
            <color indexed="81"/>
            <rFont val="Tahoma"/>
            <family val="2"/>
          </rPr>
          <t xml:space="preserve">Sarayut Chaisuriya:
</t>
        </r>
        <r>
          <rPr>
            <sz val="9"/>
            <color indexed="81"/>
            <rFont val="Tahoma"/>
            <family val="2"/>
          </rPr>
          <t xml:space="preserve">Develop new ideas, solutions, or products, e.g.
- Design and implement a firewall rule to prevent SQL injection attacks?
- Develop a secure memory management technique to prevent buffer overflow vulnerabilities in a C program?
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Original Bloom's Taxonomy</t>
        </r>
        <r>
          <rPr>
            <b/>
            <sz val="9"/>
            <color indexed="81"/>
            <rFont val="Tahoma"/>
            <family val="2"/>
          </rPr>
          <t xml:space="preserve">
6.Creating </t>
        </r>
        <r>
          <rPr>
            <sz val="9"/>
            <color indexed="81"/>
            <rFont val="Tahoma"/>
            <family val="2"/>
          </rPr>
          <t xml:space="preserve">(Innovation &amp; Advanced Problem-Solving)
• Purpose: Check the ability to design new solutions based on knowledge.
• Example Question Types: 
  - Develop a security strategy for a given system.
  - Propose a new way to prevent a common attack.
  - Write a function to achieve a specific outcome.
• Example Question:
  - Design a script to monitor and log file permission changes in a Linux system.
</t>
        </r>
      </text>
    </comment>
    <comment ref="C34" authorId="0" shapeId="0" xr:uid="{E349E5FC-6688-446F-AE34-74C10E181848}">
      <text>
        <r>
          <rPr>
            <b/>
            <sz val="9"/>
            <color indexed="81"/>
            <rFont val="Tahoma"/>
            <family val="2"/>
          </rPr>
          <t>Sarayut Chaisuriya:</t>
        </r>
        <r>
          <rPr>
            <sz val="9"/>
            <color indexed="81"/>
            <rFont val="Tahoma"/>
            <family val="2"/>
          </rPr>
          <t xml:space="preserve">
ฟังก์ชันนี้ส่งผลโดยตรงต่อการบำรุงรักษาทรัพย์สิน ซึ่งเป็นวัตถุประสงค์หลักของระบบ Asset Management</t>
        </r>
      </text>
    </comment>
    <comment ref="C36" authorId="0" shapeId="0" xr:uid="{8621915B-722C-4C87-B628-9BA9031DF2C5}">
      <text>
        <r>
          <rPr>
            <b/>
            <sz val="9"/>
            <color indexed="81"/>
            <rFont val="Tahoma"/>
          </rPr>
          <t>Sarayut Chaisuriya:</t>
        </r>
        <r>
          <rPr>
            <sz val="9"/>
            <color indexed="81"/>
            <rFont val="Tahoma"/>
          </rPr>
          <t xml:space="preserve">
เหตุผล: ครอบคลุมฟังก์ชันหลักของระบบทั้งสมาชิกและบรรณารักษ์ โดยสอดคล้องกับ workflow จริง</t>
        </r>
      </text>
    </comment>
    <comment ref="C37" authorId="0" shapeId="0" xr:uid="{8FA6D399-EEB0-4E07-A915-5DCD512A0579}">
      <text>
        <r>
          <rPr>
            <b/>
            <sz val="9"/>
            <color indexed="81"/>
            <rFont val="Tahoma"/>
          </rPr>
          <t>Sarayut Chaisuriya:</t>
        </r>
        <r>
          <rPr>
            <sz val="9"/>
            <color indexed="81"/>
            <rFont val="Tahoma"/>
          </rPr>
          <t xml:space="preserve">
เหตุผล: การยืนยัน PIN ต้องเกิดขึ้นทุกครั้งที่ตรวจสอบยอดเงิน ไม่ใช่แค่ภายใต้เงื่อนไขบางอย่าง</t>
        </r>
      </text>
    </comment>
    <comment ref="C38" authorId="0" shapeId="0" xr:uid="{FCE1994D-4B82-42A1-9F86-3EDF2658E079}">
      <text>
        <r>
          <rPr>
            <b/>
            <sz val="9"/>
            <color indexed="81"/>
            <rFont val="Tahoma"/>
          </rPr>
          <t>Sarayut Chaisuriya:</t>
        </r>
        <r>
          <rPr>
            <sz val="9"/>
            <color indexed="81"/>
            <rFont val="Tahoma"/>
          </rPr>
          <t xml:space="preserve">
คำอธิบาย: ขั้นตอน Check คือการประเมินผลลัพธ์จากการดำเนินการ (Do) เพื่อเปรียบเทียบกับแผนที่วางไว้</t>
        </r>
      </text>
    </comment>
    <comment ref="C40" authorId="0" shapeId="0" xr:uid="{1B52539A-6DD6-41AB-AB7A-CB23EDDAD819}">
      <text>
        <r>
          <rPr>
            <b/>
            <sz val="9"/>
            <color indexed="81"/>
            <rFont val="Tahoma"/>
          </rPr>
          <t>Sarayut Chaisuriya:</t>
        </r>
        <r>
          <rPr>
            <sz val="9"/>
            <color indexed="81"/>
            <rFont val="Tahoma"/>
          </rPr>
          <t xml:space="preserve">
เหตุผล: การลด defect เป็นเป้าหมายสำคัญของคุณภาพซอฟต์แวร์ การใช้เวลาเพิ่มเล็กน้อยอาจยอมรับได้หากผลลัพธ์ดีขึ้น</t>
        </r>
      </text>
    </comment>
    <comment ref="C43" authorId="0" shapeId="0" xr:uid="{1B208E6D-1449-4FEA-ABC0-FBCACFF97CE5}">
      <text>
        <r>
          <rPr>
            <b/>
            <sz val="9"/>
            <color indexed="81"/>
            <rFont val="Tahoma"/>
            <family val="2"/>
          </rPr>
          <t>Sarayut Chaisuriya:</t>
        </r>
        <r>
          <rPr>
            <sz val="9"/>
            <color indexed="81"/>
            <rFont val="Tahoma"/>
            <family val="2"/>
          </rPr>
          <t xml:space="preserve">
คำอธิบาย: เมธอด Compare() จะเปรียบเทียบสองสตริงโดยไม่สนใจตัวพิมพ์เล็ก-ใหญ่ (OrdinalIgnoreCase) และคืนค่า 0 เมื่อสตริงเหมือนกัน</t>
        </r>
      </text>
    </comment>
    <comment ref="C55" authorId="0" shapeId="0" xr:uid="{5B06C245-132A-453D-8D4A-D11EF397B4F2}">
      <text>
        <r>
          <rPr>
            <b/>
            <sz val="9"/>
            <color indexed="81"/>
            <rFont val="Tahoma"/>
            <family val="2"/>
          </rPr>
          <t>Sarayut Chaisuriya:</t>
        </r>
        <r>
          <rPr>
            <sz val="9"/>
            <color indexed="81"/>
            <rFont val="Tahoma"/>
            <family val="2"/>
          </rPr>
          <t xml:space="preserve">
คำตอบที่ถูกต้อง: B) ปฏิเสธและอธิบายผลกระทบด้านจริยธรรม พร้อมเสนอทางเลือกอื่น
เหตุผล:
ต้องยึดหลักจริยธรรมวิชาชีพ (Software Engineering Code of Ethics)
ตัวอย่างทางเลือก: การเข้ารหัสข้อมูล (Encryption) แทนการดักจับ
ตรงตามหลักการของ ACM/IEEE Software Engineering Ethics</t>
        </r>
      </text>
    </comment>
    <comment ref="C56" authorId="0" shapeId="0" xr:uid="{41E979F2-46B6-4824-A7D7-5E844D9D52DE}">
      <text>
        <r>
          <rPr>
            <b/>
            <sz val="9"/>
            <color indexed="81"/>
            <rFont val="Tahoma"/>
            <family val="2"/>
          </rPr>
          <t>Sarayut Chaisuriya:</t>
        </r>
        <r>
          <rPr>
            <sz val="9"/>
            <color indexed="81"/>
            <rFont val="Tahoma"/>
            <family val="2"/>
          </rPr>
          <t xml:space="preserve">
คำตอบที่ถูกต้อง: B) การละเมิดความเป็นส่วนตัว (Privacy Violation)
การวิเคราะห์:
ข้อมูลส่วนตัว เช่น ประวัติการสนทนา อาจถูกใช้โดยไม่ได้รับความยินยอม
ผลกระทบ: ผู้ใช้สูญเสียการควบคุมข้อมูล, การละเมิด GDPR
ทางเลือก: การใช้เทคนิค Federated Learning เพื่อลดการเก็บข้อมูลส่วนกลาง</t>
        </r>
      </text>
    </comment>
    <comment ref="C57" authorId="0" shapeId="0" xr:uid="{A9C78C73-F505-4A08-97C8-AC812BE9D2CC}">
      <text>
        <r>
          <rPr>
            <b/>
            <sz val="9"/>
            <color indexed="81"/>
            <rFont val="Tahoma"/>
            <family val="2"/>
          </rPr>
          <t>Sarayut Chaisuriya:</t>
        </r>
        <r>
          <rPr>
            <sz val="9"/>
            <color indexed="81"/>
            <rFont val="Tahoma"/>
            <family val="2"/>
          </rPr>
          <t xml:space="preserve">
คำตอบที่ถูกต้อง: B) ใช้การยินยอมแบบชัดแจ้ง (Explicit Consent) และเข้ารหัสข้อมูล
เหตุผล:
Explicit Consent: แจ้งวัตถุประสงค์และขออนุญาตก่อนเก็บข้อมูล (ตรงตาม PDPA)
Encryption: ป้องกันการเข้าถึงข้อมูลโดยไม่ได้รับอนุญาต
ตัวอย่างจริง: Chatbot ทางการแพทย์เช่น Ada Health ใช้หลักการนี้</t>
        </r>
      </text>
    </comment>
    <comment ref="C58" authorId="0" shapeId="0" xr:uid="{391EF483-1838-4BC0-9D6E-B8162E7BC7AC}">
      <text>
        <r>
          <rPr>
            <b/>
            <sz val="9"/>
            <color indexed="81"/>
            <rFont val="Tahoma"/>
            <family val="2"/>
          </rPr>
          <t>Sarayut Chaisuriya:</t>
        </r>
        <r>
          <rPr>
            <sz val="9"/>
            <color indexed="81"/>
            <rFont val="Tahoma"/>
            <family val="2"/>
          </rPr>
          <t xml:space="preserve">
คำตอบที่ถูกต้อง: B) ระบบเก็บข้อมูลการใช้งานทุกครั้งโดยไม่แจ้งให้ผู้ใช้ทราบหรือขอความยินยอม
การวิเคราะห์:
มาตรา 5 ห้ามเข้าถึงข้อมูลคอมพิวเตอร์โดยมิชอบ ซึ่งรวมถึงการเก็บข้อมูลผู้ใช้แบบลับๆ
ผลกระทบ: อาจถูกฟ้องร้องและปรับสูงสุด 500,000 บาท
ทางแก้: ต้องปฏิบัติตาม PDPA (ขอความยินยอมและแจ้งวัตถุประสงค์)</t>
        </r>
      </text>
    </comment>
    <comment ref="C60" authorId="0" shapeId="0" xr:uid="{59AB2C0F-9B66-4CAD-9B43-7EE200F09F8F}">
      <text>
        <r>
          <rPr>
            <b/>
            <sz val="9"/>
            <color indexed="81"/>
            <rFont val="Tahoma"/>
            <family val="2"/>
          </rPr>
          <t>Sarayut Chaisuriya:</t>
        </r>
        <r>
          <rPr>
            <sz val="9"/>
            <color indexed="81"/>
            <rFont val="Tahoma"/>
            <family val="2"/>
          </rPr>
          <t xml:space="preserve">
คำตอบที่ถูกต้อง: D) รายงานการประชุมทีมพัฒนาปีที่ผ่านมา
การวิเคราะห์:
เหตุผล: เอกสาร A-C เกี่ยวข้องโดยตรงกับความต้องการระบบ ในขณะที่ D เป็นข้อมูลภายในทีมที่อาจไม่สะท้อนความต้องการปัจจุบัน
เอกสารที่ควรเก็บ:
ข้อตกลงระดับบริการ (SLA)
ผังกระบวนการทำงาน (Process Flow Diagrams)
มาตรฐานอุตสาหกรรม (Industry Compliance Standards)</t>
        </r>
      </text>
    </comment>
    <comment ref="C61" authorId="0" shapeId="0" xr:uid="{84E2CBAA-042F-4116-9C61-3A710258774A}">
      <text>
        <r>
          <rPr>
            <b/>
            <sz val="9"/>
            <color indexed="81"/>
            <rFont val="Tahoma"/>
            <family val="2"/>
          </rPr>
          <t>Sarayut Chaisuriya:</t>
        </r>
        <r>
          <rPr>
            <sz val="9"/>
            <color indexed="81"/>
            <rFont val="Tahoma"/>
            <family val="2"/>
          </rPr>
          <t xml:space="preserve">
คำตอบที่ถูกต้อง: A)
เหตุผล:
สัมภาษณ์ผู้มีส่วนได้ส่วนเสีย (ระบุ pain points)
วิเคราะห์ข้อมูลย้อนหลัง (เข้าใจพฤติกรรมผู้ใช้)
Benchmark คู่แข่ง (เปรียบเทียบฟีเจอร์)
สรุปเป็น SRS (เอกสารความต้องการมาตรฐาน IEEE 830)
เครื่องมือแนะนำ:
Confluence/Jira สำหรับจัดเก็บเอกสาร
Balsamiq สำหรับวาด Wireframe จากความต้องการ</t>
        </r>
      </text>
    </comment>
    <comment ref="C62" authorId="0" shapeId="0" xr:uid="{0C56F407-EBE6-469C-9B9A-F0EE1B52B236}">
      <text>
        <r>
          <rPr>
            <b/>
            <sz val="9"/>
            <color indexed="81"/>
            <rFont val="Tahoma"/>
          </rPr>
          <t>Sarayut Chaisuriya:</t>
        </r>
        <r>
          <rPr>
            <sz val="9"/>
            <color indexed="81"/>
            <rFont val="Tahoma"/>
          </rPr>
          <t xml:space="preserve">
คำตอบที่ถูกต้อง: C) การพัฒนาแบบวนซ้ำ (Iterative) และปรับปรุงต่อเนื่องในแต่ละรอบ
การวิเคราะห์:
RUP ใช้แนวคิด Iterative Development โดยแต่ละรอบ (Iteration) ครอบคลุมทุกกิจกรรม (Requirements, Design, Coding, Testing)
ข้อดี: ลดความเสี่ยงเร็ว สามารถปรับเปลี่ยนความต้องการได้ตลอด
ต่างจาก Waterfall ที่ต้องรอให้ครบทุกเฟสก่อนจึงจะทดสอบได้</t>
        </r>
      </text>
    </comment>
    <comment ref="C63" authorId="0" shapeId="0" xr:uid="{A09FEA1C-0E41-4E49-B5D4-2ABEB9552B90}">
      <text>
        <r>
          <rPr>
            <b/>
            <sz val="9"/>
            <color indexed="81"/>
            <rFont val="Tahoma"/>
          </rPr>
          <t>Sarayut Chaisuriya:</t>
        </r>
        <r>
          <rPr>
            <sz val="9"/>
            <color indexed="81"/>
            <rFont val="Tahoma"/>
          </rPr>
          <t xml:space="preserve">
คำตอบที่ถูกต้อง: B)
เหตุผล:
Iteration แรก ควรโฟกัสที่ฟีเจอร์หลัก (Core Functionality) ก่อน
ขั้นตอนตาม RUP:
Inception (เก็บความต้องการหลัก)
Elaboration (ออกแบบและพัฒนาบางส่วน)
Construction (พัฒนาต่อ)
Transition (ปรับปรุงก่อนส่งมอบ)
ตัวอย่าง: ใน Iteration แรกอาจพัฒนาแค่การค้นหาและแสดงผลห้องพักก่อน</t>
        </r>
      </text>
    </comment>
  </commentList>
</comments>
</file>

<file path=xl/sharedStrings.xml><?xml version="1.0" encoding="utf-8"?>
<sst xmlns="http://schemas.openxmlformats.org/spreadsheetml/2006/main" count="547" uniqueCount="403">
  <si>
    <t>สถาบันเทคโนโลยีจิตรลดา
คณะเทคโนโลยีดิจิทัล</t>
  </si>
  <si>
    <t>หัวข้อ</t>
  </si>
  <si>
    <t>ภาคต้น ปีการศึกษา 2568</t>
  </si>
  <si>
    <t>จำนวนข้อสอบ</t>
  </si>
  <si>
    <t>คะแนนเต็ม</t>
  </si>
  <si>
    <t>์ผู้สอน</t>
  </si>
  <si>
    <t>ดร.ศรายุทธ ฉายสุริยะ</t>
  </si>
  <si>
    <t>รหัสนักศึกษา</t>
  </si>
  <si>
    <t>ชื่อนักศึกษา</t>
  </si>
  <si>
    <t>นามสกุลนักศึกษา</t>
  </si>
  <si>
    <t>วันที่สอบ</t>
  </si>
  <si>
    <t>เงื่อนไข</t>
  </si>
  <si>
    <t>ทำข้อสอบโดยใช้ Excel ในเครื่องคอมพิวเตอร์ประจำตัว
ห้าม นศษ. แก้ไขเปลี่ยนแปลงข้อมูลในแผ่นงาน "ข้อมูล"</t>
  </si>
  <si>
    <t>ห้ามใช้อินเตอร์เน็ต และโปรแกรมอื่นใดในคอมพิวเตอร์ โดยเด็ดขาด</t>
  </si>
  <si>
    <t>ข้อมูลในแผ่นงาน "ข้อสอบ" ใช้เป็นคำตอบในการสอบครั้งนี้</t>
  </si>
  <si>
    <t>การทุจริตในการสอบถือเป็นความผิดร้ายแรง มีโทษสูงสุดให้พ้นสภาพการเป็นนักศึกษา</t>
  </si>
  <si>
    <r>
      <t>แต่ละข้อ ให้นักศึกษาเลือ</t>
    </r>
    <r>
      <rPr>
        <b/>
        <sz val="16"/>
        <color theme="1"/>
        <rFont val="TH Sarabun New"/>
        <family val="2"/>
      </rPr>
      <t>กคำตอบที่ถูกต้องมากที่สุด</t>
    </r>
    <r>
      <rPr>
        <sz val="16"/>
        <color theme="1"/>
        <rFont val="TH Sarabun New"/>
        <family val="2"/>
      </rPr>
      <t>ได้เพียงข้อเดียว</t>
    </r>
  </si>
  <si>
    <t>ข้อ</t>
  </si>
  <si>
    <t>คำถาม</t>
  </si>
  <si>
    <t>ตอบข้อ ก</t>
  </si>
  <si>
    <t>คำตอบสำหรั้บข้อ ก</t>
  </si>
  <si>
    <t>ตอบข้อ ข</t>
  </si>
  <si>
    <t>คำตอบสำหรั้บข้อ ข</t>
  </si>
  <si>
    <t>ตอบข้อ ค</t>
  </si>
  <si>
    <t>คำตอบสำหรั้บข้อ ค</t>
  </si>
  <si>
    <t>ตอบข้อ ง</t>
  </si>
  <si>
    <t>คำตอบสำหรั้บข้อ ง</t>
  </si>
  <si>
    <t>ก</t>
  </si>
  <si>
    <t>ข</t>
  </si>
  <si>
    <t>ค</t>
  </si>
  <si>
    <t>ง</t>
  </si>
  <si>
    <t xml:space="preserve">กระดาษทด </t>
  </si>
  <si>
    <t>อนุญาตให้เขียน ข้อความหรือคำนวณใดๆ ก็ได้ในแผ่นงานนี้ โดยไม่ใช้เป็นคำตอบ</t>
  </si>
  <si>
    <t>หลังส่งข้อมูลแล้ว ให้ นศษ. ออกจากห้องสอบในทันที โดยนำคอมพิวเตอร์ที่ใช้ทำข้อสอบออกไปด้วย</t>
  </si>
  <si>
    <t>การสอบกลางภาค</t>
  </si>
  <si>
    <t>ข้อสอบวิชา 310-2203 Software Development 1</t>
  </si>
  <si>
    <t>อัตนัย 60 ข้อ ปรนัย 5 ข้อ</t>
  </si>
  <si>
    <t>80 คะแนน</t>
  </si>
  <si>
    <t>หลังทำข้อสอบเสร็จแล้ว ให้ นศษ เชื่อมต่อ อินเตอร์เน็ต แล้วใช้ email ส่งแฟ้มให้ ผู้สอน sarayut.cha@cdti.ac.th โดยตั้งชื่อแฟ้มเป็น "Midterm-SWDEV1-รหัส-ชื่อนักศึกษา"</t>
  </si>
  <si>
    <t>เฉลย</t>
  </si>
  <si>
    <t>Bloom Taxonomy</t>
  </si>
  <si>
    <t>หัวข้อตามหลักสูตร</t>
  </si>
  <si>
    <t>1 การพัฒนาระบบซอฟต์แวร์</t>
  </si>
  <si>
    <t>2 การระบุข้อกำหนดของซอฟต์แวร์ เครื่องมือช่วยในการพัฒนาซอฟต์แวร์</t>
  </si>
  <si>
    <t>3 การเขียนโปรแกรมลักษณะมีแม่แบบแผน</t>
  </si>
  <si>
    <t>4 การทดสอบซอฟต์แวร์</t>
  </si>
  <si>
    <t xml:space="preserve">5 การประกันคุณภาพ </t>
  </si>
  <si>
    <t>6 การกำหนดหมายเลขกำกับการพัฒนา</t>
  </si>
  <si>
    <t>หัวข้อเพิ่มเติ</t>
  </si>
  <si>
    <t>1.Remember</t>
  </si>
  <si>
    <t>2.Understand</t>
  </si>
  <si>
    <t>3.Apply</t>
  </si>
  <si>
    <t>4. Analyze</t>
  </si>
  <si>
    <t>5. Evaluate</t>
  </si>
  <si>
    <t>6. Create</t>
  </si>
  <si>
    <t>ใน Visual Studio 2022 เมื่อต้องการสร้างโปรเจกต์ใหม่สำหรับแอปพลิเคชัน Windows Forms โดยใช้ภาษา C# ควรเลือก แม่แบบ (เทมเพลต) ใด?</t>
  </si>
  <si>
    <t>ASP.NET Core Web App</t>
  </si>
  <si>
    <t xml:space="preserve"> Console App (.NET Core)</t>
  </si>
  <si>
    <t>Windows Forms App (.NET Framework)</t>
  </si>
  <si>
    <t>Class Library (.NET Standard)</t>
  </si>
  <si>
    <t>ใน Visual Studio 2022 การกดปุ่ม F5 ขณะพัฒนาแอปพลิเคชัน Windows Forms มีผลอย่างไร?</t>
  </si>
  <si>
    <t>บันทึกไฟล์ทั้งหมดโดยไม่คอมไพล์</t>
  </si>
  <si>
    <t>รันโปรแกรมในโหมด Debug</t>
  </si>
  <si>
    <t>ปิดหน้าต่าง Design View</t>
  </si>
  <si>
    <t>สร้างไฟล์ .exe โดยไม่รันโปรแกรม</t>
  </si>
  <si>
    <t>ถ้าต้องการเพิ่ม Button Control ลงในฟอร์มใน Visual Studio 2022 ควรทำอย่างไร?</t>
  </si>
  <si>
    <t>คลิกขวาที่ฟอร์มและเลือก "Add New Item"</t>
  </si>
  <si>
    <t>ลาก Button จาก Toolbox มาวางบนฟอร์ม</t>
  </si>
  <si>
    <t>เขียนโค้ดสร้าง Button ในไฟล์ Program.cs</t>
  </si>
  <si>
    <t>ดับเบิลคลิกที่ฟอร์มเพื่อสร้าง Button อัตโนมัติ</t>
  </si>
  <si>
    <t>หลังจากเพิ่ม TextBox ชื่อ txtName และ Button ชื่อ btnSubmit ในฟอร์ม นักพัฒนาต้องการให้เมื่อคลิกปุ่ม btnSubmit โปรแกรมแสดงข้อความ "Hello, [ชื่อที่ป้อน]" ใน MessageBox ควรเขียนโค้ดอย่างไร?</t>
  </si>
  <si>
    <t xml:space="preserve">private void btnSubmit_Click(object sender, EventArgs e)  
{  
    MessageBox.Show("Hello, " + txtName.Text);  
} </t>
  </si>
  <si>
    <t xml:space="preserve">private void btnSubmit_Click(object sender, EventArgs e)  
{  
    Console.WriteLine("Hello, " + txtName.Text);  
}  </t>
  </si>
  <si>
    <t xml:space="preserve">private void Form1_Load(object sender, EventArgs e)  
{  
    MessageBox.Show("Hello, " + txtName.Text);  
}  </t>
  </si>
  <si>
    <t xml:space="preserve">private void txtName_TextChanged(object sender, EventArgs e)  
{  
    MessageBox.Show("Hello, " + txtName.Text);  
}  </t>
  </si>
  <si>
    <t>นักพัฒนาต้องการตรวจสอบว่าค่าในตัวแปร count ถูกอัปเดตอย่างถูกต้องขณะรันโปรแกรมในโหมด Debug วิธีใดเหมาะสมที่สุด?</t>
  </si>
  <si>
    <t>ใช้คำสั่ง Console.WriteLine(count) เพื่อแสดงค่าใน Output Window</t>
  </si>
  <si>
    <t>ใช้ Breakpoint และดูค่าใน Watch Window</t>
  </si>
  <si>
    <t xml:space="preserve"> แก้ไขโค้ดให้แสดง MessageBox ทุกครั้งที่ค่า count เปลี่ยน</t>
  </si>
  <si>
    <t>รันโปรแกรมปกติและบันทึกผลลัพธ์ลงไฟล์</t>
  </si>
  <si>
    <t>ภาพประกอบ(ถ้ามี)</t>
  </si>
  <si>
    <t>ในภาษา C# คีย์เวิร์ดใดใช้สำหรับประกาศตัวแปรที่เก็บค่าจำนวนเต็มแบบมีเครื่องหมายขนาด 32 บิต?</t>
  </si>
  <si>
    <t>float</t>
  </si>
  <si>
    <t>double</t>
  </si>
  <si>
    <t>int</t>
  </si>
  <si>
    <t>string</t>
  </si>
  <si>
    <t>ข้อใดคือการประกาศตัวแปรและกำหนดค่าเริ่มต้นที่ถูกต้องในภาษา C#?</t>
  </si>
  <si>
    <t>int x = "5";</t>
  </si>
  <si>
    <t>bool isActive = true;</t>
  </si>
  <si>
    <t>string name = 'John'; //(ใช้ single quotes)</t>
  </si>
  <si>
    <t>double price = 10.5f; //(ใช้ suffix f สำหรับ double)</t>
  </si>
  <si>
    <t xml:space="preserve"> เกิดข้อผิดพลาด</t>
  </si>
  <si>
    <r>
      <t xml:space="preserve">จากโค้ดต่อไปนี้ ผลลัพธ์ที่ได้คืออะไร?
</t>
    </r>
    <r>
      <rPr>
        <sz val="10"/>
        <color theme="1"/>
        <rFont val="Consolas"/>
        <family val="3"/>
      </rPr>
      <t xml:space="preserve">  string message = "Hello";
  message += " World";
  Console.WriteLine(message.Length);</t>
    </r>
  </si>
  <si>
    <t>ข้อใดคือวิธีที่ดีที่สุดในการตรวจสอบว่าสตริง input เป็นค่าว่างหรือไม่?</t>
  </si>
  <si>
    <t>if (input == "")</t>
  </si>
  <si>
    <t>if (input == string.Empty)</t>
  </si>
  <si>
    <t>if (string.IsNullOrEmpty(input))</t>
  </si>
  <si>
    <t>if (input.Length &lt;= 0)</t>
  </si>
  <si>
    <r>
      <t xml:space="preserve">จากโค้ดต่อไปนี้ ข้อใดคือผลลัพธ์และเหตุผลที่ถูกต้อง?
</t>
    </r>
    <r>
      <rPr>
        <sz val="10"/>
        <color theme="1"/>
        <rFont val="Consolas"/>
        <family val="3"/>
      </rPr>
      <t>int a = 10;
int b = 3;
double result = a / b;
Console.WriteLine(result);</t>
    </r>
  </si>
  <si>
    <t>3.333 — เพราะ a / b คำนวณเป็นทศนิยมอัตโนมัติ</t>
  </si>
  <si>
    <t>3 — เพราะ a และ b เป็น int จึงหารแบบจำนวนเต็ม</t>
  </si>
  <si>
    <t xml:space="preserve"> เกิดข้อผิดพลาด — เพราะไม่สามารถแปลง int เป็น double ได้</t>
  </si>
  <si>
    <t>3.0 — เพราะ result เป็น double</t>
  </si>
  <si>
    <t>ขั้นตอนใดใน SDLC ที่เกี่ยวข้องกับการวิเคราะห์ความต้องการของผู้ใช้และกำหนดขอบเขตของระบบ?</t>
  </si>
  <si>
    <t>การออกแบบระบบ (System Design)</t>
  </si>
  <si>
    <t xml:space="preserve"> การทดสอบระบบ (Testing)</t>
  </si>
  <si>
    <t>การเก็บความต้องการ (Requirements Gathering)</t>
  </si>
  <si>
    <t>การบำรุงรักษา (Maintenance)</t>
  </si>
  <si>
    <t xml:space="preserve"> หากองค์กรอยู่ใน CMMI Level 3 (Defined) ข้อใดสะท้อนลักษณะการทำงานได้ถูกต้องที่สุด?</t>
  </si>
  <si>
    <t>กระบวนการพัฒนาซอฟต์แวร์ถูกกำหนดเป็นมาตรฐานและปรับใช้ทั่วทั้งองค์กร</t>
  </si>
  <si>
    <t xml:space="preserve"> โครงการต่าง ๆ ทำงานแบบ Ad-hoc โดยไม่มีกระบวนการชัดเจน</t>
  </si>
  <si>
    <t>มีการวัดผลและปรับปรุงกระบวนการอย่างต่อเนื่อง (Quantitatively Managed)</t>
  </si>
  <si>
    <t>กระบวนการพัฒนาถูกปรับปรุงโดยอัตโนมัติด้วย AI</t>
  </si>
  <si>
    <t>จากโค้ดต่อไปนี้ วิธีใดคือการจัดการหน่วยความจำที่มีประสิทธิภาพที่สุด หากต้องการสตริงที่สามารถแก้ไขได้หลายครั้ง?
  string data = "Initial";
  // แก้ไขสตริงหลายครั้ง (เช่น ต่อข้อความหรือลบบางส่วน)</t>
  </si>
  <si>
    <t>ใช้ string และดำเนินการต่อด้วย += ตลอด</t>
  </si>
  <si>
    <t>ใช้ StringBuilder</t>
  </si>
  <si>
    <t>ใช้ char[] และจัดการแบบอาร์เรย์</t>
  </si>
  <si>
    <t>ใช้ List&lt;string&gt; และ Join() ทุกครั้ง</t>
  </si>
  <si>
    <t>สัญลักษณ์ใดใน Activity Diagram ที่ใช้แทนการตัดสินใจ (Decision) และมีเส้นทางออกได้หลายทาง?</t>
  </si>
  <si>
    <t>◻️ สี่เหลี่ยม (Activity)</t>
  </si>
  <si>
    <t>🔵 วงกลมทึบ (Start Node)</t>
  </si>
  <si>
    <t xml:space="preserve"> ⭕ วงกลมเส้นบาง (End Node)</t>
  </si>
  <si>
    <t xml:space="preserve"> 🔷 สี่เหลี่ยมข้าวหลามตัด (Diamond)</t>
  </si>
  <si>
    <t>จากกระบวนการลงทะเบียนผู้ใช้ต่อไปนี้ ข้อใดสะท้อนการออกแบบ Activity Diagram ที่เหมาะสมที่สุด?
1.เริ่มต้น
2.กรอกแบบฟอร์ม
3.ตรวจสอบความถูกต้องของข้อมูล
   - หากข้อมูลถูกต้อง: บันทึกข้อมูล
   - หากข้อมูลไม่ถูกต้อง: แจ้งข้อผิดพลาดและกลับไปกรอกใหม่
4.ส่งอีเมลยืนยัน
5.จบกระบวนการ</t>
  </si>
  <si>
    <t>ใช้ Merge Node (⚪) รวมทุกเส้นทางก่อนจบกระบวนการ</t>
  </si>
  <si>
    <t xml:space="preserve"> ใช้ Decision Node (🔷) เฉพาะขั้นตอนตรวจสอบข้อมูล โดยไม่มี Merge Node</t>
  </si>
  <si>
    <t>ใช้ Parallel Fork (➖) สำหรับขั้นตอนส่งอีเมลและบันทึกข้อมูลพร้อมกัน</t>
  </si>
  <si>
    <t>ใช้ Final Node (⭕) 2 จุด (เมื่อบันทึกสำเร็จและเมื่อมีข้อผิดพลาด)</t>
  </si>
  <si>
    <t>จากระบบ ATM ต่อไปนี้ ข้อใดเป็นการออกแบบ Use Case Diagram ที่เหมาะสมที่สุด?
ความต้องการ:
1.ผู้ใช้ (Actor: Customer) สามารถทำธุรกรรมถอนเงินและตรวจสอบยอดเงิน
2.การถอนเงินต้องมีการตรวจสอบ PIN ก่อนเสมอ
3.เจ้าหน้าที่ธนาคาร (Actor: Bank Staff) สามารถเติมเงินในเครื่องได้</t>
  </si>
  <si>
    <t>- Use Case: "Withdraw Money" และ "Check Balance" แยกกันโดยไม่มีความสัมพันธ์
- ไม่มี Use Case "Verify PIN"</t>
  </si>
  <si>
    <t>-Use Case: "Withdraw Money" รวมความสัมพันธ์ &lt;&lt;include&gt;&gt; กับ "Verify PIN"
-Use Case: "Check Balance" รวมความสัมพันธ์ &lt;&lt;extend&gt;&gt; กับ "Verify PIN"
-มี Actor "Bank Staff" ที่เกี่ยวข้องกับ Use Case "Refill Cash</t>
  </si>
  <si>
    <t>-Use Case: "Withdraw Money" และ "Check Balance" ใช้ความสัมพันธ์ &lt;&lt;extend&gt;&gt; กับ "Verify PIN"
-ไม่มี Actor "Bank Staff"</t>
  </si>
  <si>
    <t>-Use Case: "Withdraw Money" และ "Check Balance" รวมเป็น Use Case เดียวกัน
- มี Actor "Bank Staff" แต่ไม่มี Use Case "Refill Cash"</t>
  </si>
  <si>
    <t>จากผลการสำรวจผู้ใช้ระบบจองห้องพัก พบว่า 70% ของผู้ใช้ไม่พอใจขั้นตอนการชำระเงินที่ซับซ้อน ข้อใดคือแนวทางการแก้ไขปัญหาที่เหมาะสมที่สุด?</t>
  </si>
  <si>
    <t>เพิ่มฟีเจอร์การแจ้งเตือนทางอีเมลเพื่อลดความสับสน</t>
  </si>
  <si>
    <t>ปรับขั้นตอนการชำระเงินให้เหลือไม่เกิน 3 ขั้นตอน และทดสอบ usability กับกลุ่มผู้ใช้อีกครั้ง</t>
  </si>
  <si>
    <t xml:space="preserve"> ลดราคาห้องพักเพื่อชดเชยความไม่สะดวก</t>
  </si>
  <si>
    <t>เพิ่มคู่มือการใช้งานแบบ PDF ในเว็บไซต์</t>
  </si>
  <si>
    <t>ตามหลัก Hungarian Notation ในการเขียนโค้ด ตัวแปรชื่อ strUserName ควรมีข้อมูลประเภทใด?</t>
  </si>
  <si>
    <t>ตัวเลขจำนวนเต็ม (int)</t>
  </si>
  <si>
    <t>สตริง (string)</t>
  </si>
  <si>
    <t xml:space="preserve"> ค่าทางตรรกะ (bool)</t>
  </si>
  <si>
    <t>วันที่และเวลา (DateTime)</t>
  </si>
  <si>
    <r>
      <t xml:space="preserve">จากโค้ด C# ต่อไปนี้ ข้อใดเป็นปัญหาตามหลักมาตรฐานการเขียนโค้ดที่ดีที่สุด?
</t>
    </r>
    <r>
      <rPr>
        <sz val="10"/>
        <color theme="1"/>
        <rFont val="Consolas"/>
        <family val="3"/>
      </rPr>
      <t>public void CalculateTotal(int p1, int p2) {
    int x = p1 + p2;
    Console.WriteLine(x);
}</t>
    </r>
  </si>
  <si>
    <t>ใช้ชื่อตัวแปร p1 และ p2 ที่ไม่สื่อความหมาย</t>
  </si>
  <si>
    <t>ไม่มีการคืนค่า (return value) จากเมธอด</t>
  </si>
  <si>
    <t>ไม่มี comment อธิบายการทำงาน</t>
  </si>
  <si>
    <t>ใช้ตัวแปรชั่วคราว x แทนการคำนวณโดยตรงใน Console.WriteLine</t>
  </si>
  <si>
    <t>เขียนโค้ดให้สั้นที่สุดเท่าที่จะเป็นไปได้</t>
  </si>
  <si>
    <t xml:space="preserve"> คาดการณ์และป้องกันข้อผิดพลาดที่อาจเกิดขึ้นจาก input หรือสภาพแวดล้อม</t>
  </si>
  <si>
    <t>ใช้ algorithm ที่ซับซ้อนเพื่อเพิ่มประสิทธิภาพ</t>
  </si>
  <si>
    <t>ลดการใช้ comment ในโค้ดเพื่อความปลอดภัย</t>
  </si>
  <si>
    <t xml:space="preserve">หลักการสำคัญของ Defensive Coding คืออะไร?
</t>
  </si>
  <si>
    <r>
      <t xml:space="preserve">จากโค้ด C# ต่อไปนี้ ข้อใดเป็นวิธีป้องกันที่ดีที่สุดสำหรับการรับ input จากผู้ใช้?
</t>
    </r>
    <r>
      <rPr>
        <sz val="10"/>
        <color theme="1"/>
        <rFont val="Consolas"/>
        <family val="3"/>
      </rPr>
      <t>public int GetUserAge() {
    Console.Write("Enter your age: ");
    string input = Console.ReadLine();
    // ส่วนที่ควรเพิ่ม Defensive Coding
    return int.Parse(input);
}</t>
    </r>
  </si>
  <si>
    <t xml:space="preserve"> ใช้ try-catch เพื่อจัดการ exception</t>
  </si>
  <si>
    <t>ใช้ int.TryParse() แทน int.Parse()</t>
  </si>
  <si>
    <t>ไม่ต้องทำอะไร เพราะ int.Parse() ดีพอแล้ว</t>
  </si>
  <si>
    <t>เพิ่ม if (input != null) ก่อน parse</t>
  </si>
  <si>
    <t>Story Board ใน Agile มีวัตถุประสงค์หลักเพื่ออะไร?</t>
  </si>
  <si>
    <t xml:space="preserve"> เพื่อระบุความต้องการทั้งหมดของระบบก่อนเริ่มพัฒนา</t>
  </si>
  <si>
    <t xml:space="preserve"> เพื่อแสดงภาพรวมความคืบหน้าและสถานะของงาน (Task) ในแต่ละ Sprint</t>
  </si>
  <si>
    <t xml:space="preserve"> เพื่อใช้เป็นเอกสารส่งมอบระบบให้ลูกค้า</t>
  </si>
  <si>
    <t>เพื่อคำนวณค่าใช้จ่ายของโครงการ</t>
  </si>
  <si>
    <t>จาก Burndown Chart ต่อไปนี้ ข้อใดสะท้อนสถานการณ์ของทีมได้ถูกต้องที่สุด?
ข้อมูล:
- แกน X: ระยะเวลาใน Sprint (วัน)
- แกน Y: จำนวนงานคงเหลือ (Story Points)
- เส้นแนวโน้ม: ลดลงอย่างสม่ำเสมอจนเป็น 0 ในวันสุดท้ายของ Sprint
- เส้นจริง: ลดลงช้ากว่าเส้นแนวโน้มในช่วงแรก แต่เร็วขึ้นช่วงปลาย Sprint</t>
  </si>
  <si>
    <t>ทีมทำงานเร็วขึ้นในช่วงปลาย Sprint เพื่อให้ทันเวลา</t>
  </si>
  <si>
    <t>ทีมทำงานช้าเกินไปและไม่น่าจะเสร็จทันเวลา</t>
  </si>
  <si>
    <t>ทีมทำงานตามแผนที่วางไว้อย่างสมบูรณ์แบบ</t>
  </si>
  <si>
    <t>ทีมเพิ่มงานใหม่ในช่วงกลาง Sprint</t>
  </si>
  <si>
    <t>ข้อใดคือคุณสมบัติสำคัญของแบบจำลอง Spiral ที่เหมาะสำหรับโครงการที่มีความเสี่ยงสูง?</t>
  </si>
  <si>
    <t xml:space="preserve"> การพัฒนาแบบเส้นตรง (Linear) โดยไม่มีขั้นตอนย้อนกลับ</t>
  </si>
  <si>
    <t xml:space="preserve"> การประเมินความเสี่ยงอย่างเป็นระบบในแต่ละรอบ (Iteration)</t>
  </si>
  <si>
    <t xml:space="preserve"> การส่งมอบระบบครั้งเดียวเมื่อพัฒนาเสร็จสมบูรณ์</t>
  </si>
  <si>
    <t>การเน้นการเขียนเอกสารให้ครบถ้วนก่อนเริ่มเขียนโค้ด</t>
  </si>
  <si>
    <t>โครงการพัฒนาระบบควบคุมอากาศยานไร้คนขับ (Drone) ที่มีข้อกำหนดด้านความปลอดภัยสูง ควรใช้ Spiral Model อย่างไรเพื่อลดความเสี่ยง?</t>
  </si>
  <si>
    <t>กำหนดรอบ (Spiral) แรกเพื่อทดสอบ Algorithm พื้นฐานกับข้อมูลจำลอง ก่อนพัฒนาต่อในรอบถัดไป</t>
  </si>
  <si>
    <t>พัฒนาระบบให้เสร็จสมบูรณ์ในรอบเดียวเพื่อประหยัดเวลา</t>
  </si>
  <si>
    <t>เลือกใช้แบบจำลอง Waterfall แทนเนื่องจากมีโครงสร้างชัดเจน</t>
  </si>
  <si>
    <t xml:space="preserve"> เน้นการเพิ่มฟีเจอร์ให้มากที่สุดในแต่ละรอบ โดยไม่สนใจการทดสอบ</t>
  </si>
  <si>
    <t>เอกสาร TOR (Terms of Reference) ของโครงการซอฟต์แวร์ภาครัฐไทยมีวัตถุประสงค์หลักเพื่ออะไร?</t>
  </si>
  <si>
    <t xml:space="preserve"> ระบุงบประมาณโครงการอย่างละเอียด</t>
  </si>
  <si>
    <t>กำหนดขอบเขตงาน ข้อกำหนด และเกณฑ์การรับมอบระบบให้ชัดเจน</t>
  </si>
  <si>
    <t xml:space="preserve"> เป็นคู่มือการเขียนโค้ดสำหรับนักพัฒนา</t>
  </si>
  <si>
    <t>ใช้แทนสัญญาจ้างงานกับผู้พัฒนา</t>
  </si>
  <si>
    <t>จาก TOR โครงการระบบจัดเก็บภาษีออนไลน์ของกรมสรรพากร ระบุว่าต้อง "รองรับผู้ใช้พร้อมกัน 10,000 คน" และ "ผ่านมาตรฐานความปลอดภัย PCI-DSS" ข้อใดคือแนวทางปฏิบัติที่ดีที่สุดสำหรับทีมพัฒนา?</t>
  </si>
  <si>
    <t>ออกแบบระบบโดยใช้ Load Testing ทดสอบผู้ใช้ 10,000 คน และตรวจสอบมาตรฐาน PCI-DSS ก่อนส่งมอบ</t>
  </si>
  <si>
    <t>พัฒนาตามความสามารถทีมก่อน แล้วปรับปรุงภายหลังหากระบบไม่รองรับ</t>
  </si>
  <si>
    <t xml:space="preserve"> เพิ่มฟีเจอร์อื่นๆ ให้มากที่สุด แม้จะไม่เกี่ยวข้องกับ TOR</t>
  </si>
  <si>
    <t>ยื่นขอแก้ไข TOR เพื่อลดข้อกำหนดให้ง่ายขึ้น</t>
  </si>
  <si>
    <t>ข้อใดคือ Functional Requirement (ความต้องการเชิงหน้าที่) ของระบบ Asset Management?</t>
  </si>
  <si>
    <t xml:space="preserve"> ระบบต้องรองรับการทำงานบนเบราว์เซอร์ Chrome เวอร์ชันล่าสุด</t>
  </si>
  <si>
    <t>ระบบต้องบันทึกประวัติการซ่อมบำรุงของครุภัณฑ์</t>
  </si>
  <si>
    <t xml:space="preserve"> ระบบต้องใช้สีโทนฟ้าเพื่อความสวยงาม</t>
  </si>
  <si>
    <t>ระบบต้องเปิดใช้งานได้ภายใน 3 วินาที</t>
  </si>
  <si>
    <t>จากข้อกำหนด "ระบบต้องแสดงผลข้อมูลครุภัณฑ์ 10,000 รายการภายในเวลาไม่เกิน 2 วินาที" ข้อใดคือเทคนิคที่เหมาะสมที่สุดเพื่อให้เป็นไปตามข้อกำหนดนี้?</t>
  </si>
  <si>
    <t>การใช้ Pagination แบ่งหน้าแสดงผล</t>
  </si>
  <si>
    <t>การใช้ Cache ข้อมูลและการออกแบบดัชนี (Index) ในฐานข้อมูล</t>
  </si>
  <si>
    <t xml:space="preserve"> การลดจำนวนฟิลด์ข้อมูลที่แสดงผล</t>
  </si>
  <si>
    <t>การเพิ่มข้อความ "กำลังโหลด..." ขณะรอแสดงผล</t>
  </si>
  <si>
    <t xml:space="preserve"> หากมีข้อขัดแย้งระหว่าง Stakeholder เกี่ยวกับ Requirement ของระบบ Asset Management ข้อใดควรได้รับการจัดลำดับความสำคัญสูงสุด?</t>
  </si>
  <si>
    <t>ความต้องการให้ระบบมี Dark Mode</t>
  </si>
  <si>
    <t>ความต้องการให้ระบบสามารถส่งอีเมลแจ้งเตือนการซ่อมบำรุงได้</t>
  </si>
  <si>
    <t>ความต้องการให้ระบบพิมพ์รายงานได้ในรูปแบบสีเท่านั้น</t>
  </si>
  <si>
    <t>ใน Use Case Diagram สัญลักษณ์ "เส้นประกับหัวลูกศร" และคำว่า &lt;&lt;include&gt;&gt; หมายถึงอะไร?</t>
  </si>
  <si>
    <t>ความสัมพันธ์การสืบทอด (Inheritance)</t>
  </si>
  <si>
    <t>ความสัมพันธ์การรวม (Mandatory) ที่ Use Case หนึ่งต้องเรียกใช้อีก Use Case</t>
  </si>
  <si>
    <t>ความสัมพันธ์การขยาย (Optional) ที่อาจเกิดขึ้นภายใต้เงื่อนไข</t>
  </si>
  <si>
    <t>ความสัมพันธ์การสื่อสารระหว่าง Actor กับ Use Case</t>
  </si>
  <si>
    <t>จากระบบจองห้องสมุดที่มี Actor คือ "สมาชิก" และ "บรรณารักษ์" ข้อใดคือ Use Case ที่สมบูรณ์ที่สุด?</t>
  </si>
  <si>
    <t xml:space="preserve"> สมาชิก: จองหนังสือ, คืนหนังสือ</t>
  </si>
  <si>
    <t>สมาชิก: จองหนังสือ, ชำระค่าปรับ; บรรณารักษ์: อนุมัติการจอง, แจ้งเตือนการคืน</t>
  </si>
  <si>
    <t>สมาชิก: ล็อกอิน, อ่านหนังสือ; บรรณารักษ์: จัดชั้นหนังสือ</t>
  </si>
  <si>
    <t>สมาชิก: ค้นหาหนังสือ; บรรณารักษ์: สร้างรายงาน</t>
  </si>
  <si>
    <t>จาก Use Case Diagram ของระบบ ATM ที่แสดงความสัมพันธ์ &lt;&lt;extend&gt;&gt; จาก "ตรวจสอบยอดเงิน" ไปยัง "ยืนยัน PIN" ข้อใดถูกต้องที่สุด?</t>
  </si>
  <si>
    <t>ถูกต้อง เพราะการตรวจสอบยอดเงินต้องยืนยัน PIN ก่อนเสมอ</t>
  </si>
  <si>
    <t xml:space="preserve">ผิด ควรใช้ &lt;&lt;include&gt;&gt; แทน เพราะการยืนยัน PIN เป็นขั้นตอนบังคับ
</t>
  </si>
  <si>
    <t xml:space="preserve">ผิด ควรใช้ Generalization แทน
</t>
  </si>
  <si>
    <t>ถูกต้อง เพราะ &lt;&lt;extend&gt;&gt; ใช้สำหรับความสัมพันธ์แบบเงื่อนไข</t>
  </si>
  <si>
    <t xml:space="preserve"> ขั้นตอนใดในวงจร PDCA ที่เกี่ยวข้องกับการทดสอบและการตรวจสอบว่าแผนที่วางไว้ได้ผลตามความคาดหวังหรือไม่?</t>
  </si>
  <si>
    <t>Plan (วางแผน)</t>
  </si>
  <si>
    <t>Do (ดำเนินการ)</t>
  </si>
  <si>
    <t>Check (ตรวจสอบ)</t>
  </si>
  <si>
    <t>Act (ปรับปรุง)</t>
  </si>
  <si>
    <t>Plan: กำหนดเป้าหมาย Sprint ใหม่</t>
  </si>
  <si>
    <t>Do: ทดสอบฟีเจอร์ใน Sprint ปัจจุบัน</t>
  </si>
  <si>
    <t>Check: วิเคราะห์ปัญหาและความสำเร็จจาก Sprint ที่ผ่านมา</t>
  </si>
  <si>
    <t>Act: นำบทเรียนไปปรับปรุงกระบวนการใน Sprint ถัดไป</t>
  </si>
  <si>
    <t>ทีมพัฒนาซอฟต์แวร์ใช้ PDCA ในทบทวนกิจกรรมที่ผ่านมาอย่างไร?</t>
  </si>
  <si>
    <t>จากกรณีศึกษา ทีมพัฒนาระบบ E-Commerce พบว่าหลังจากใช้ PDCA ผ่าน 3 Sprint อัตราความผิดพลาด (Defect Rate) ลดลง 20% แต่เวลาในการพัฒนาเพิ่มขึ้น 15% ข้อใดสะท้อนการประเมินที่สมดุลที่สุด?</t>
  </si>
  <si>
    <t>ล้มเลิก PDCA เพราะเพิ่มเวลาในการพัฒนา</t>
  </si>
  <si>
    <t xml:space="preserve"> เปลี่ยนไปใช้โมเดล Waterfall แทน</t>
  </si>
  <si>
    <t>ข้ามขั้น Check และ Act เพื่อประหยัดเวลา</t>
  </si>
  <si>
    <t>พิจารณาว่า PDCA ประสบความสำเร็จ เพราะลด defect ได้แม้ใช้เวลาเพิ่ม</t>
  </si>
  <si>
    <t>หลักการ Encapsulation ใน C# หมายถึงอะไร?</t>
  </si>
  <si>
    <t>การซ่อนข้อมูลภายในคลาสและให้เข้าถึงผ่านเมธอดสาธารณะ</t>
  </si>
  <si>
    <t>การสร้างคลาสใหม่จากคลาสที่มีอยู่</t>
  </si>
  <si>
    <t>การกำหนดให้คลาสมีหลายรูปแบบการทำงาน</t>
  </si>
  <si>
    <t>การนำคลาสหลายคลาสมารวมกัน</t>
  </si>
  <si>
    <t>เมธอด Substring() ใน C# ใช้ทำอะไร?</t>
  </si>
  <si>
    <t>แยกสตริงย่อยจากสตริงหลักตามตำแหน่งและความยาวที่กำหนด</t>
  </si>
  <si>
    <t>เปรียบเทียบสองสตริงว่าตรงกันหรือไม่</t>
  </si>
  <si>
    <t>แปลงสตริงเป็นตัวเลข</t>
  </si>
  <si>
    <t>เชื่อมต่อสองสตริงเข้าด้วยกัน</t>
  </si>
  <si>
    <r>
      <t xml:space="preserve">จากโค้ดต่อไปนี้ ผลลัพธ์จะเป็นอย่างไร?
</t>
    </r>
    <r>
      <rPr>
        <sz val="10"/>
        <color theme="1"/>
        <rFont val="Consolas"/>
        <family val="3"/>
      </rPr>
      <t>string str1 = "Hello";
string str2 = "hello";
int result = string.Compare(str1, str2, StringComparison.OrdinalIgnoreCase);
Console.WriteLine(result);</t>
    </r>
  </si>
  <si>
    <t>-1</t>
  </si>
  <si>
    <t>เกิดข้อผิดพลาด</t>
  </si>
  <si>
    <t>การทดสอบแบบใดที่ตรวจสอบว่าระบบทำงานตามความต้องการของผู้ใช้หรือไม่?</t>
  </si>
  <si>
    <t>Unit Testing</t>
  </si>
  <si>
    <t>Integration Testing</t>
  </si>
  <si>
    <t>System Testing</t>
  </si>
  <si>
    <t>Acceptance Testing</t>
  </si>
  <si>
    <t>คุณสมบัติใดของ DateTimePicker ที่ใช้กำหนดรูปแบบการแสดงผลวันที่?</t>
  </si>
  <si>
    <t>.Text</t>
  </si>
  <si>
    <t>.DateFormat</t>
  </si>
  <si>
    <t>.Format</t>
  </si>
  <si>
    <t>.Value</t>
  </si>
  <si>
    <t>จากฟอร์มที่มี NumericUpDown (ชื่อ numQuantity) และ TextBox (ชื่อ txtTotal) ต้องการคำนวณ Total = Quantity * 100 ทุกครั้งที่ค่ามีการเปลี่ยนแปลง ควรใช้เหตุการณ์ (Event) ใด?</t>
  </si>
  <si>
    <t>numQuantity_TextChanged</t>
  </si>
  <si>
    <t>numQuantity_ValueChanged</t>
  </si>
  <si>
    <t>txtTotal_KeyPress</t>
  </si>
  <si>
    <t>numQuantity_Click</t>
  </si>
  <si>
    <t>ต้องการตรวจสอบว่า TextBox (ชื่อ txtAge) มีค่าที่กรอกเป็นตัวเลขเท่านั้น ควรใช้โค้ดใดในเหตุการณ์ txtAge_KeyPress?</t>
  </si>
  <si>
    <t>private void txtAge_KeyPress(object sender, KeyPressEventArgs e) {
    if (!char.IsDigit(e.KeyChar)) {
        e.Handled = true; // ไม่ให้ป้อนอักขระที่ไม่ใช่ตัวเลข
    }
}</t>
  </si>
  <si>
    <t>private void txtAge_KeyPress(object sender, KeyPressEventArgs e) {
    if (char.IsLetter(e.KeyChar)) {
        e.Handled = false;
    }
}</t>
  </si>
  <si>
    <t>private void txtAge_KeyPress(object sender, KeyPressEventArgs e) {
    MessageBox.Show("กรุณากรอกตัวเลข");
}</t>
  </si>
  <si>
    <t>private void txtAge_KeyPress(object sender, KeyPressEventArgs e) {
    txtAge.Text = "";
}</t>
  </si>
  <si>
    <t>หากต้องการให้ข้อความในแท็ก &lt;p&gt; มีสีแดง ควรใช้รูปแบบใด?</t>
  </si>
  <si>
    <t>&lt;p style="color:red;"&gt;ข้อความ&lt;/p&gt;</t>
  </si>
  <si>
    <t>&lt;p color="red"&gt;ข้อความ&lt;/p&gt;</t>
  </si>
  <si>
    <t>7 ระบบควบคุมเวอร์ชัน</t>
  </si>
  <si>
    <t>8 โครงงานการพัฒนาระบบซอฟต์แวร์</t>
  </si>
  <si>
    <t>9 การเขียนโปรแกรมภาษา C#</t>
  </si>
  <si>
    <t>10 html/css</t>
  </si>
  <si>
    <t>ใน Visual Studio คีย์เวิร์ดใดใช้สำหรับสร้าง XML Comments ที่แสดงคำอธิบายเมธอดแบบมาตรฐาน?</t>
  </si>
  <si>
    <t>//</t>
  </si>
  <si>
    <t>/*  */</t>
  </si>
  <si>
    <t>///</t>
  </si>
  <si>
    <t>'''</t>
  </si>
  <si>
    <t>จากโค้ดต่อไปนี้ ต้องการเพิ่ม XML Comments สำหรับพารามิเตอร์และค่าที่คืนกลับ ควรเขียนอย่างไร?</t>
  </si>
  <si>
    <t>public int Calculate(int a, int b) {
    return a + b;
}</t>
  </si>
  <si>
    <t>/// Adds two numbers
public int Calculate(int a, int b) {
    return a + b;
}</t>
  </si>
  <si>
    <t>/// &lt;summary&gt;
/// บวกเลขสองตัว
/// &lt;/summary&gt;
/// &lt;param name="a"&gt;ตัวเลขแรก&lt;/param&gt;
/// &lt;param name="b"&gt;ตัวเลขที่สอง&lt;/param&gt;
/// &lt;returns&gt;ผลรวมของ a และ b&lt;/returns&gt;
public int Calculate(int a, int b) {
    return a + b;
}</t>
  </si>
  <si>
    <t>// Calculate a + b
public int Calculate(int a, int b) {
    return a + b;
}</t>
  </si>
  <si>
    <t>ข้อใดคือองค์ประกอบที่จำเป็นใน Use Case Diagram สำหรับระบุความต้องการซอฟต์แวร์?</t>
  </si>
  <si>
    <t>Actor, Use Case, ความสัมพันธ์ (Relationship)</t>
  </si>
  <si>
    <t>Class, Object, Method</t>
  </si>
  <si>
    <t>Activity Node, Decision Node</t>
  </si>
  <si>
    <t>Table, Column, Primary Key</t>
  </si>
  <si>
    <t>จากระบบห้องสมุดโรงเรียนที่มี Actor คือ "นักเรียน", "ครู", และ "บรรณารักษ์" ข้อใดแสดง Use Case Diagram ที่สมบูรณ์ที่สุด?</t>
  </si>
  <si>
    <t xml:space="preserve">[นักเรียน] ──&gt; [ยืมหนังสือ]  
[ครู] ──&gt; [จองหนังสือล่วงหน้า]  </t>
  </si>
  <si>
    <t>[นักเรียน] ──&gt; [ยืมหนังสือ] (Include) ──&gt; [ตรวจสอบสถานะหนังสือ]  
[ครู] ──&gt; [ขอหนังสืออ้างอิง]  
[บรรณารักษ์] ──&gt; [เพิ่มหนังสือใหม่]</t>
  </si>
  <si>
    <t xml:space="preserve">[นักเรียน] ──&gt; [ยืมหนังสือ] (Extend) ──&gt; [ชำระค่าปรับ]  
[ครู] ──&gt; [อัปเดตฐานข้อมูล]  </t>
  </si>
  <si>
    <t xml:space="preserve">[นักเรียน] ──&gt; [อ่านหนังสือในห้องสมุด]  
[บรรณารักษ์] ──&gt; [ยืมหนังสือ] </t>
  </si>
  <si>
    <t xml:space="preserve"> จากระบบ Facebook ที่มี Actor คือ "ผู้ใช้ทั่วไป", "ผู้ดูแลระบบ", และ "นักโฆษณา" ข้อใดแสดง Use Case Diagram ที่สมบูรณ์ที่สุด?</t>
  </si>
  <si>
    <t xml:space="preserve">[ผู้ใช้ทั่วไป] ──&gt; [โพสต์สถานะ]  
[นักโฆษณา] ──&gt; [ดูสถิติโฆษณา]  </t>
  </si>
  <si>
    <t xml:space="preserve">[ผู้ใช้ทั่วไป] ──&gt; [โพสต์สถานะ] (Include) ──&gt; [อัปโหลดรูปภาพ]  
[ผู้ใช้ทั่วไป] ──&gt; [ส่งข้อความส่วนตัว]  
[ผู้ดูแลระบบ] ──&gt; [ระงับบัญชีผู้ใช้]  
[นักโฆษณา] ──&gt; [สร้างโฆษณา] </t>
  </si>
  <si>
    <t xml:space="preserve">[ผู้ใช้ทั่วไป] ──&gt; [โพสต์สถานะ] (Extend) ──&gt; [แท็กเพื่อน]  
[ผู้ดูแลระบบ] ──&gt; [โพสต์สถานะ]  </t>
  </si>
  <si>
    <t xml:space="preserve">[ผู้ใช้ทั่วไป] ──&gt; [ดูสถิติโฆษณา]  
[นักโฆษณา] ──&gt; [ส่งข้อความส่วนตัว]  </t>
  </si>
  <si>
    <t>computer ethic</t>
  </si>
  <si>
    <t>หลักการใดที่สำคัญที่สุดในการเก็บรวบรวมความต้องการจากผู้ใช้เพื่อให้เป็นไปตามจริยธรรม?</t>
  </si>
  <si>
    <t>การเก็บข้อมูลส่วนตัวผู้ใช้โดยไม่แจ้งให้ทราบ</t>
  </si>
  <si>
    <t>การขอความยินยอมและอธิบายวัตถุประสงค์ก่อนเก็บข้อมูล</t>
  </si>
  <si>
    <t>การใช้ข้อมูลที่เก็บมาเพื่อประโยชน์ส่วนตัว</t>
  </si>
  <si>
    <t>การบังคับให้ผู้ใช้ให้ข้อมูลทั้งหมด</t>
  </si>
  <si>
    <t>หากลูกค้าระบุความต้องการให้ระบบสามารถดักจับข้อมูลการสนทนาของผู้ใช้โดยไม่แจ้งให้ทราบ วิศวกรซอฟต์แวร์ควรทำอย่างไร?</t>
  </si>
  <si>
    <t>พัฒนาตามที่ลูกค้าต้องการโดยไม่มีข้อโต้แย้ง</t>
  </si>
  <si>
    <t>ปฏิเสธและอธิบายผลกระทบด้านจริยธรรม พร้อมเสนอทางเลือกอื่น</t>
  </si>
  <si>
    <t>พัฒนาระบบแต่เพิ่มฟังก์ชันลับๆ เพื่อดักจับข้อมูลเพิ่มเติม</t>
  </si>
  <si>
    <t>แจ้งให้ผู้ใช้ทราบแต่ยังพัฒนาตามที่ลูกค้าต้องการ</t>
  </si>
  <si>
    <t>ข้อใดคือความเสี่ยงด้านจริยธรรมหลักของ AI Chatbot ที่ใช้ข้อมูลส่วนตัวผู้ใช้เพื่อปรับปรุงการตอบสนอง?</t>
  </si>
  <si>
    <t>การเพิ่มความเร็วในการประมวลผล</t>
  </si>
  <si>
    <t>การละเมิดความเป็นส่วนตัว (Privacy Violation)</t>
  </si>
  <si>
    <t>การลดต้นทุนการพัฒนา</t>
  </si>
  <si>
    <t>การแสดงผลสีหน้าจอที่สวยงาม</t>
  </si>
  <si>
    <t>หากต้องพัฒนา AI Chatbot สำหรับบริการสุขภาพที่เก็บข้อมูลอาการป่วยผู้ใช้ ข้อใดคือแนวทางปฏิบัติที่ดีที่สุดเพื่อให้เป็นไปตามหลักจริยธรรม?</t>
  </si>
  <si>
    <t xml:space="preserve"> เก็บข้อมูลทั้งหมดแบบไม่เข้ารหัสเพื่อการเข้าถึงที่ง่าย</t>
  </si>
  <si>
    <t>ใช้การยินยอมแบบชัดแจ้ง (Explicit Consent) และเข้ารหัสข้อมูล</t>
  </si>
  <si>
    <t>ไม่แจ้งผู้ใช้ว่าข้อมูลถูกเก็บอย่างไร</t>
  </si>
  <si>
    <t>จำกัดการใช้งานเฉพาะผู้ที่มีความรู้ด้านเทคนิค</t>
  </si>
  <si>
    <t>ปรับปรุง UX/UX ของโปรแกรม</t>
  </si>
  <si>
    <t>ข้อใดคือตัวอย่างความต้องการซอฟต์แวร์ที่เสี่ยงต่อการละเมิด มาตรา 5 พรบ.คอมพิวเตอร์ ว่าด้วยการเข้าถึงข้อมูลโดยไม่ชอบด้วยกฎหมาย?</t>
  </si>
  <si>
    <t>ระบบบันทึกการล็อกอินของผู้ใช้เพื่อตรวจสอบความปลอดภัย</t>
  </si>
  <si>
    <t>ระบบเก็บข้อมูลการใช้งานทุกครั้งโดยไม่แจ้งให้ผู้ใช้ทราบหรือขอความยินยอม</t>
  </si>
  <si>
    <t>ระบบแจ้งเตือนเมื่อมีการล็อกอินจากอุปกรณ์ใหม่</t>
  </si>
  <si>
    <t>ระบบยืนยันตัวตนด้วย OTP</t>
  </si>
  <si>
    <t>หากต้องพัฒนาระบบเก็บประวัติการค้นหาของผู้ใช้ (Search History) ควรทำอย่างไรเพื่อไม่ให้ขัด มาตรา 26 พรบ.คอมพิวเตอร์ ว่าด้วยการเปิดเผยข้อมูลส่วนบุคคล?</t>
  </si>
  <si>
    <t>ลบข้อมูลอัตโนมัติหลังจาก 30 วัน และแจ้งนโยบายการเก็บข้อมูลให้ผู้ใช้ทราบ</t>
  </si>
  <si>
    <t>เก็บข้อมูลตลอดไปเพื่อใช้ในการพัฒนาระบบ</t>
  </si>
  <si>
    <t>ไม่ต้องแจ้งผู้ใช้เพราะเป็นข้อมูลภายในบริษัท</t>
  </si>
  <si>
    <t>เก็บข้อมูลแบบไม่เข้ารหัสและอนุญาตให้ทุกแผนกในองค์กรเข้าถึงได้</t>
  </si>
  <si>
    <t>ในการเก็บรวบรวมเอกสารสำหรับกระบวนการสำรวจความต้องการซอฟต์แวร์ เอกสารใดต่อไปนี้มีความสำคัญน้อยที่สุดสำหรับการวิเคราะห์ความต้องการเบื้องต้น?</t>
  </si>
  <si>
    <t>แบบสอบถามความต้องการผู้ใช้ (User Requirements Questionnaire)</t>
  </si>
  <si>
    <t>นโยบายความปลอดภัยข้อมูลขององค์กร (Data Security Policy)</t>
  </si>
  <si>
    <t>คู่มือการใช้งานระบบเดิม (Legacy System User Manual)</t>
  </si>
  <si>
    <t>รายงานการประชุมทีมพัฒนาปีที่ผ่านมา (Last Year's Dev Team Meeting Notes)</t>
  </si>
  <si>
    <t>ท่านได้รับมอบหมายให้จัดการเอกสารความต้องการสำหรับเว็บแอปพลิเคชันขายหนังสือออนไลน์ ข้อใดคือลำดับการดำเนินการที่ถูกต้องที่สุด?</t>
  </si>
  <si>
    <t>1.กำหนดงบประมาณ → 2. จัดซื้อซอฟต์แวร์สำเร็จรูป → 3. ปรับแต่งระบบ → 4. รับรองความถูกต้อง</t>
  </si>
  <si>
    <t>1.ศึกษาคู่มือเทคโนโลยีล่าสุด → 2. ซื้อเซิร์ฟเวอร์ → 3. ระบุความต้องการ → 4. จัดฝึกอบรมผู้ใช้</t>
  </si>
  <si>
    <t>1.ออกแบบฐานข้อมูล → 2. เขียนโค้ดส่วนหน้าจอ → 3. เก็บความต้องการ → 4. ทดสอบระบบ</t>
  </si>
  <si>
    <t>1.สัมภาษณ์ผู้มีส่วนได้ส่วนเสีย → 2. เก็บสถิติการขายปีก่อน → 3. วิเคราะห์คู่แข่ง → 4. สร้างเอกสาร Software Requirements Specification (SRS)</t>
  </si>
  <si>
    <t xml:space="preserve"> ข้อใดคือลักษณะเฉพาะที่สำคัญที่สุดของ RUP ที่แตกต่างจากแบบจำลองกระบวนการพัฒนาซอฟต์แวร์แบบน้ำตก (Waterfall Model)?</t>
  </si>
  <si>
    <t>การพัฒนาแบบเชิงเส้นตรง (Linear) โดยไม่มีขั้นตอนย้อนกลับ</t>
  </si>
  <si>
    <t xml:space="preserve"> การแบ่งงานเป็นเฟส (Phase) ที่ชัดเจน เช่น Requirements, Design, Implementation</t>
  </si>
  <si>
    <t>การพัฒนาแบบวนซ้ำ (Iterative) และปรับปรุงต่อเนื่องในแต่ละรอบ</t>
  </si>
  <si>
    <t>การเน้นการทดสอบระบบเฉพาะในเฟสสุดท้าย</t>
  </si>
  <si>
    <t>ท่านได้รับมอบหมายให้ใช้ RUP พัฒนาระบบจองห้องพักออนไลน์ ข้อใดคือลำดับการดำเนินการที่ถูกต้องสำหรับ Iteration แรก?</t>
  </si>
  <si>
    <t>1.เก็บความต้องการทั้งหมด → 2. ออกแบบระบบทั้งหมด → 3. พัฒนาทั้งระบบ → 4. ทดสอบทั้งระบบ</t>
  </si>
  <si>
    <t>1.เก็บความต้องการพื้นฐาน (เช่น การค้นหาห้องพัก) → 2. ออกแบบและพัฒนาฟีเจอร์ค้นหา → 3. ทดสอบฟีเจอร์ค้นหา → 4. รับ Feedback</t>
  </si>
  <si>
    <t>1.สร้างฐานข้อมูลทั้งหมด → 2. พัฒนาหน้าจอทั้งหมด → 3. ทดสอบประสิทธิภาพระบบ</t>
  </si>
  <si>
    <t>1.ฝึกอบรมผู้ใช้ → 2. ติดตั้งระบบ → 3. รันระบบจริง</t>
  </si>
  <si>
    <t>Requirements Management (REQM)</t>
  </si>
  <si>
    <t>Risk Management (RSKM)</t>
  </si>
  <si>
    <t>Project Planning (PP)</t>
  </si>
  <si>
    <t>Configuration Management (CM)</t>
  </si>
  <si>
    <t xml:space="preserve"> Process Area ใดใน CMMI ที่เกี่ยวข้องกับการใช้ Usecase model?</t>
  </si>
  <si>
    <t>6710301002</t>
  </si>
  <si>
    <t>รวม</t>
  </si>
  <si>
    <t>6510301028</t>
  </si>
  <si>
    <t>6510301047</t>
  </si>
  <si>
    <t>6710301001</t>
  </si>
  <si>
    <t>6710301003</t>
  </si>
  <si>
    <t>6710301004</t>
  </si>
  <si>
    <t>6710301005</t>
  </si>
  <si>
    <t>6710301006</t>
  </si>
  <si>
    <t>6710301007</t>
  </si>
  <si>
    <t>6710301008</t>
  </si>
  <si>
    <t>6710301009</t>
  </si>
  <si>
    <t>6710301010</t>
  </si>
  <si>
    <t>6710301011</t>
  </si>
  <si>
    <t>6710301012</t>
  </si>
  <si>
    <t>6710301017</t>
  </si>
  <si>
    <t>6710301018</t>
  </si>
  <si>
    <t>6710301019</t>
  </si>
  <si>
    <t>6710301020</t>
  </si>
  <si>
    <t>6710301021</t>
  </si>
  <si>
    <t>6710301022</t>
  </si>
  <si>
    <t>6710301023</t>
  </si>
  <si>
    <t>6710301024</t>
  </si>
  <si>
    <t>6710301025</t>
  </si>
  <si>
    <t>6710301027</t>
  </si>
  <si>
    <t>6710301028</t>
  </si>
  <si>
    <t>6710301029</t>
  </si>
  <si>
    <t>6710301030</t>
  </si>
  <si>
    <t>6710301031</t>
  </si>
  <si>
    <t>6710301032</t>
  </si>
  <si>
    <t>6710301033</t>
  </si>
  <si>
    <t>6710301034</t>
  </si>
  <si>
    <t>6710301035</t>
  </si>
  <si>
    <t>6710301036</t>
  </si>
  <si>
    <t>6710301037</t>
  </si>
  <si>
    <t>6710301041</t>
  </si>
  <si>
    <t>6710301042</t>
  </si>
  <si>
    <t>6710301043</t>
  </si>
  <si>
    <t>6710301045</t>
  </si>
  <si>
    <t>6710301047</t>
  </si>
  <si>
    <t>6710301048</t>
  </si>
  <si>
    <t>6710301049</t>
  </si>
  <si>
    <t>6710301051</t>
  </si>
  <si>
    <t>6710301054</t>
  </si>
  <si>
    <t>6720301001</t>
  </si>
  <si>
    <t>6720301002</t>
  </si>
  <si>
    <t>6720301003</t>
  </si>
  <si>
    <t>6720301004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</si>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</sst>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[$-D07041E]d\ mmmm\ yyyy;@"/>
  </numFmts>
  <fonts count="19">
    <font>
      <sz val="16"/>
      <color theme="1"/>
      <name val="TH Sarabun New"/>
      <family val="2"/>
    </font>
    <font>
      <sz val="16"/>
      <color rgb="FF9C5700"/>
      <name val="TH Sarabun New"/>
      <family val="2"/>
    </font>
    <font>
      <b/>
      <sz val="16"/>
      <color theme="1"/>
      <name val="TH Sarabun New"/>
      <family val="2"/>
    </font>
    <font>
      <sz val="18"/>
      <color theme="1"/>
      <name val="TH Sarabun New"/>
      <family val="2"/>
    </font>
    <font>
      <b/>
      <sz val="22"/>
      <color theme="1"/>
      <name val="TH Sarabun New"/>
      <family val="2"/>
    </font>
    <font>
      <b/>
      <sz val="18"/>
      <color theme="1"/>
      <name val="TH Sarabun New"/>
      <family val="2"/>
    </font>
    <font>
      <i/>
      <sz val="16"/>
      <color theme="1"/>
      <name val="TH Sarabun New"/>
      <family val="2"/>
    </font>
    <font>
      <b/>
      <sz val="20"/>
      <color rgb="FFFF0000"/>
      <name val="TH Sarabun New"/>
      <family val="2"/>
    </font>
    <font>
      <b/>
      <sz val="24"/>
      <color theme="1"/>
      <name val="TH Sarabun New"/>
      <family val="2"/>
    </font>
    <font>
      <b/>
      <sz val="24"/>
      <color rgb="FF0070C0"/>
      <name val="TH Sarabun New"/>
      <family val="2"/>
    </font>
    <font>
      <sz val="16"/>
      <color rgb="FF006100"/>
      <name val="TH Sarabun New"/>
      <family val="2"/>
    </font>
    <font>
      <b/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Consolas"/>
      <family val="3"/>
    </font>
    <font>
      <sz val="9"/>
      <color indexed="81"/>
      <name val="Tahoma"/>
    </font>
    <font>
      <b/>
      <sz val="9"/>
      <color indexed="81"/>
      <name val="Tahoma"/>
    </font>
    <font>
      <sz val="10"/>
      <color theme="1"/>
      <name val="Arial"/>
      <family val="2"/>
    </font>
    <font>
      <sz val="16"/>
      <color theme="1"/>
      <name val="TH Sarabun New"/>
      <charset val="222"/>
    </font>
  </fonts>
  <fills count="12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0" fillId="4" borderId="0" applyNumberFormat="0" applyBorder="0" applyAlignment="0" applyProtection="0"/>
  </cellStyleXfs>
  <cellXfs count="60">
    <xf numFmtId="0" fontId="0" fillId="0" borderId="0" xfId="0"/>
    <xf numFmtId="0" fontId="0" fillId="0" borderId="0" xfId="0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7" fillId="0" borderId="0" xfId="0" applyFont="1"/>
    <xf numFmtId="0" fontId="8" fillId="0" borderId="0" xfId="0" applyFont="1" applyAlignment="1">
      <alignment horizontal="center" vertical="center" wrapText="1"/>
    </xf>
    <xf numFmtId="187" fontId="0" fillId="0" borderId="0" xfId="0" applyNumberFormat="1" applyAlignment="1">
      <alignment horizontal="left"/>
    </xf>
    <xf numFmtId="0" fontId="0" fillId="0" borderId="0" xfId="0" applyAlignment="1">
      <alignment vertical="top"/>
    </xf>
    <xf numFmtId="0" fontId="2" fillId="3" borderId="1" xfId="0" applyFont="1" applyFill="1" applyBorder="1" applyAlignment="1">
      <alignment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1" fontId="0" fillId="0" borderId="0" xfId="0" applyNumberFormat="1" applyAlignment="1">
      <alignment horizontal="left" vertical="top"/>
    </xf>
    <xf numFmtId="1" fontId="0" fillId="0" borderId="0" xfId="0" applyNumberFormat="1"/>
    <xf numFmtId="0" fontId="3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9" fillId="0" borderId="0" xfId="0" applyFont="1"/>
    <xf numFmtId="0" fontId="1" fillId="2" borderId="1" xfId="1" applyBorder="1" applyAlignment="1">
      <alignment horizontal="left" vertical="top"/>
    </xf>
    <xf numFmtId="1" fontId="0" fillId="5" borderId="0" xfId="0" applyNumberFormat="1" applyFill="1" applyAlignment="1">
      <alignment horizontal="left" vertical="top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0" xfId="0" applyFill="1" applyAlignment="1">
      <alignment vertical="top"/>
    </xf>
    <xf numFmtId="0" fontId="2" fillId="3" borderId="2" xfId="0" applyFont="1" applyFill="1" applyBorder="1" applyAlignment="1">
      <alignment horizontal="center" textRotation="90" wrapText="1"/>
    </xf>
    <xf numFmtId="0" fontId="0" fillId="0" borderId="0" xfId="0" applyAlignment="1">
      <alignment horizontal="center"/>
    </xf>
    <xf numFmtId="0" fontId="2" fillId="3" borderId="2" xfId="0" applyFont="1" applyFill="1" applyBorder="1" applyAlignment="1">
      <alignment vertical="top"/>
    </xf>
    <xf numFmtId="0" fontId="11" fillId="0" borderId="1" xfId="0" applyFont="1" applyBorder="1" applyAlignment="1">
      <alignment horizontal="center" textRotation="90" wrapText="1"/>
    </xf>
    <xf numFmtId="0" fontId="11" fillId="7" borderId="1" xfId="0" applyFont="1" applyFill="1" applyBorder="1" applyAlignment="1">
      <alignment horizontal="center" textRotation="90" wrapText="1"/>
    </xf>
    <xf numFmtId="0" fontId="2" fillId="6" borderId="1" xfId="0" applyFont="1" applyFill="1" applyBorder="1" applyAlignment="1">
      <alignment horizontal="center" textRotation="90"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5" borderId="0" xfId="0" applyFont="1" applyFill="1" applyAlignment="1">
      <alignment vertical="top" wrapText="1"/>
    </xf>
    <xf numFmtId="0" fontId="2" fillId="3" borderId="1" xfId="0" applyFont="1" applyFill="1" applyBorder="1" applyAlignment="1">
      <alignment horizontal="center" vertical="top"/>
    </xf>
    <xf numFmtId="0" fontId="0" fillId="3" borderId="1" xfId="0" applyFill="1" applyBorder="1" applyAlignment="1">
      <alignment horizontal="center"/>
    </xf>
    <xf numFmtId="0" fontId="0" fillId="5" borderId="0" xfId="0" applyFill="1" applyAlignment="1">
      <alignment horizontal="left" vertical="top"/>
    </xf>
    <xf numFmtId="0" fontId="10" fillId="4" borderId="0" xfId="2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0" fillId="3" borderId="1" xfId="0" quotePrefix="1" applyFill="1" applyBorder="1" applyAlignment="1">
      <alignment horizontal="center"/>
    </xf>
    <xf numFmtId="0" fontId="0" fillId="0" borderId="0" xfId="0" applyAlignment="1">
      <alignment vertical="center" wrapText="1"/>
    </xf>
    <xf numFmtId="0" fontId="0" fillId="5" borderId="0" xfId="0" quotePrefix="1" applyFill="1" applyAlignment="1">
      <alignment vertical="top" wrapText="1"/>
    </xf>
    <xf numFmtId="0" fontId="0" fillId="0" borderId="0" xfId="0" quotePrefix="1" applyAlignment="1">
      <alignment vertical="top"/>
    </xf>
    <xf numFmtId="0" fontId="0" fillId="0" borderId="0" xfId="0" applyAlignment="1">
      <alignment horizontal="left" vertical="top"/>
    </xf>
    <xf numFmtId="0" fontId="14" fillId="9" borderId="0" xfId="0" applyFont="1" applyFill="1" applyAlignment="1">
      <alignment vertical="top" wrapText="1"/>
    </xf>
    <xf numFmtId="0" fontId="0" fillId="9" borderId="0" xfId="0" applyFill="1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10" borderId="2" xfId="0" applyFont="1" applyFill="1" applyBorder="1" applyAlignment="1">
      <alignment horizontal="center" textRotation="90" wrapText="1"/>
    </xf>
    <xf numFmtId="0" fontId="17" fillId="0" borderId="0" xfId="0" applyFont="1" applyAlignment="1">
      <alignment vertical="top" wrapText="1"/>
    </xf>
    <xf numFmtId="0" fontId="0" fillId="0" borderId="0" xfId="0" applyAlignment="1">
      <alignment horizontal="center" vertical="center"/>
    </xf>
    <xf numFmtId="49" fontId="17" fillId="0" borderId="0" xfId="0" applyNumberFormat="1" applyFont="1"/>
    <xf numFmtId="49" fontId="17" fillId="10" borderId="1" xfId="0" applyNumberFormat="1" applyFont="1" applyFill="1" applyBorder="1" applyAlignment="1">
      <alignment textRotation="90"/>
    </xf>
    <xf numFmtId="49" fontId="17" fillId="10" borderId="1" xfId="0" applyNumberFormat="1" applyFont="1" applyFill="1" applyBorder="1" applyAlignment="1">
      <alignment horizontal="center" textRotation="90"/>
    </xf>
    <xf numFmtId="49" fontId="17" fillId="11" borderId="1" xfId="0" applyNumberFormat="1" applyFont="1" applyFill="1" applyBorder="1"/>
    <xf numFmtId="49" fontId="17" fillId="11" borderId="1" xfId="0" applyNumberFormat="1" applyFont="1" applyFill="1" applyBorder="1" applyAlignment="1">
      <alignment horizontal="center"/>
    </xf>
    <xf numFmtId="0" fontId="0" fillId="11" borderId="3" xfId="0" applyFill="1" applyBorder="1"/>
    <xf numFmtId="0" fontId="18" fillId="0" borderId="0" xfId="0" applyFont="1" applyAlignment="1">
      <alignment horizontal="center" vertical="top"/>
    </xf>
    <xf numFmtId="0" fontId="0" fillId="11" borderId="3" xfId="0" applyFill="1" applyBorder="1" applyAlignment="1">
      <alignment horizontal="right"/>
    </xf>
    <xf numFmtId="0" fontId="2" fillId="6" borderId="1" xfId="0" applyFont="1" applyFill="1" applyBorder="1" applyAlignment="1">
      <alignment horizontal="center" wrapText="1"/>
    </xf>
    <xf numFmtId="0" fontId="0" fillId="8" borderId="1" xfId="0" applyFill="1" applyBorder="1" applyAlignment="1">
      <alignment horizontal="center"/>
    </xf>
  </cellXfs>
  <cellStyles count="3">
    <cellStyle name="ดี" xfId="2" builtinId="26"/>
    <cellStyle name="ปกติ" xfId="0" builtinId="0"/>
    <cellStyle name="ปานกลาง" xfId="1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228601</xdr:colOff>
      <xdr:row>0</xdr:row>
      <xdr:rowOff>0</xdr:rowOff>
    </xdr:from>
    <xdr:to>
      <xdr:col>0</xdr:col>
      <xdr:colOff>1204913</xdr:colOff>
      <xdr:row>0</xdr:row>
      <xdr:rowOff>1216430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F0131C3F-51CD-EB4D-47AF-FD2110762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1" y="0"/>
          <a:ext cx="976312" cy="1216430"/>
        </a:xfrm>
        <a:prstGeom prst="rect">
          <a:avLst/>
        </a:prstGeom>
        <a:noFill/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B4020-DF3B-4112-9A91-480695DBDF7A}">
  <dimension ref="A1:B17"/>
  <sheetViews>
    <sheetView zoomScale="115" zoomScaleNormal="115" workbookViewId="0">
      <selection activeCell="B12" sqref="B12:B16"/>
    </sheetView>
  </sheetViews>
  <sheetFormatPr defaultRowHeight="20.399999999999999"/>
  <cols>
    <col min="1" max="1" width="17.33203125" customWidth="1"/>
    <col min="2" max="2" width="79.265625" customWidth="1"/>
  </cols>
  <sheetData>
    <row r="1" spans="1:2" ht="98.7" customHeight="1">
      <c r="B1" s="8" t="s">
        <v>0</v>
      </c>
    </row>
    <row r="2" spans="1:2" ht="30">
      <c r="A2" s="20" t="s">
        <v>35</v>
      </c>
    </row>
    <row r="3" spans="1:2" ht="22.8">
      <c r="A3" s="3" t="s">
        <v>1</v>
      </c>
      <c r="B3" s="3" t="s">
        <v>34</v>
      </c>
    </row>
    <row r="4" spans="1:2" ht="22.8">
      <c r="A4" s="18" t="s">
        <v>2</v>
      </c>
    </row>
    <row r="5" spans="1:2" ht="22.8">
      <c r="A5" s="18" t="s">
        <v>3</v>
      </c>
      <c r="B5" s="1" t="s">
        <v>36</v>
      </c>
    </row>
    <row r="6" spans="1:2">
      <c r="A6" s="10" t="s">
        <v>4</v>
      </c>
      <c r="B6" s="1" t="s">
        <v>37</v>
      </c>
    </row>
    <row r="7" spans="1:2">
      <c r="A7" s="10" t="s">
        <v>5</v>
      </c>
      <c r="B7" s="1" t="s">
        <v>6</v>
      </c>
    </row>
    <row r="8" spans="1:2">
      <c r="A8" s="10" t="s">
        <v>7</v>
      </c>
      <c r="B8" s="21"/>
    </row>
    <row r="9" spans="1:2">
      <c r="A9" s="10" t="s">
        <v>8</v>
      </c>
      <c r="B9" s="21"/>
    </row>
    <row r="10" spans="1:2">
      <c r="A10" s="10" t="s">
        <v>9</v>
      </c>
      <c r="B10" s="21"/>
    </row>
    <row r="11" spans="1:2">
      <c r="A11" s="10" t="s">
        <v>10</v>
      </c>
      <c r="B11" s="9">
        <v>45877</v>
      </c>
    </row>
    <row r="12" spans="1:2" ht="40.799999999999997">
      <c r="A12" s="10" t="s">
        <v>11</v>
      </c>
      <c r="B12" s="5" t="s">
        <v>12</v>
      </c>
    </row>
    <row r="13" spans="1:2">
      <c r="B13" t="s">
        <v>13</v>
      </c>
    </row>
    <row r="14" spans="1:2">
      <c r="B14" t="s">
        <v>14</v>
      </c>
    </row>
    <row r="15" spans="1:2" ht="52.95" customHeight="1">
      <c r="B15" s="6" t="s">
        <v>38</v>
      </c>
    </row>
    <row r="16" spans="1:2">
      <c r="B16" t="s">
        <v>33</v>
      </c>
    </row>
    <row r="17" spans="2:2" ht="24.6">
      <c r="B17" s="7" t="s">
        <v>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E21F5-A5BF-40F9-959A-A89147D01387}">
  <dimension ref="A1:K62"/>
  <sheetViews>
    <sheetView workbookViewId="0">
      <selection activeCell="B3" sqref="B3"/>
    </sheetView>
  </sheetViews>
  <sheetFormatPr defaultRowHeight="20.399999999999999"/>
  <cols>
    <col min="1" max="1" width="5.19921875" style="10" customWidth="1"/>
    <col min="2" max="2" width="49" style="14" customWidth="1"/>
    <col min="3" max="3" width="8.46484375" style="10" customWidth="1"/>
    <col min="4" max="4" width="36" style="10" customWidth="1"/>
    <col min="5" max="5" width="8.19921875" style="10" customWidth="1"/>
    <col min="6" max="6" width="36.19921875" style="10" customWidth="1"/>
    <col min="7" max="7" width="9" style="10"/>
    <col min="8" max="8" width="36.796875" style="10" customWidth="1"/>
    <col min="9" max="9" width="9" style="10"/>
    <col min="10" max="10" width="34.53125" style="10" customWidth="1"/>
    <col min="11" max="11" width="40.73046875" customWidth="1"/>
  </cols>
  <sheetData>
    <row r="1" spans="1:11" ht="21">
      <c r="A1" s="10" t="s">
        <v>16</v>
      </c>
    </row>
    <row r="2" spans="1:11" ht="21">
      <c r="A2" s="11" t="s">
        <v>17</v>
      </c>
      <c r="B2" s="15" t="s">
        <v>18</v>
      </c>
      <c r="C2" s="11" t="s">
        <v>19</v>
      </c>
      <c r="D2" s="11" t="s">
        <v>20</v>
      </c>
      <c r="E2" s="11" t="s">
        <v>21</v>
      </c>
      <c r="F2" s="11" t="s">
        <v>22</v>
      </c>
      <c r="G2" s="11" t="s">
        <v>23</v>
      </c>
      <c r="H2" s="11" t="s">
        <v>24</v>
      </c>
      <c r="I2" s="11" t="s">
        <v>25</v>
      </c>
      <c r="J2" s="11" t="s">
        <v>26</v>
      </c>
      <c r="K2" s="28" t="s">
        <v>80</v>
      </c>
    </row>
    <row r="3" spans="1:11" ht="61.2">
      <c r="A3" s="16">
        <v>1</v>
      </c>
      <c r="B3" s="14" t="s">
        <v>55</v>
      </c>
      <c r="C3" s="13" t="b">
        <v>0</v>
      </c>
      <c r="D3" s="12" t="s">
        <v>56</v>
      </c>
      <c r="E3" s="13" t="b">
        <v>0</v>
      </c>
      <c r="F3" s="12" t="s">
        <v>57</v>
      </c>
      <c r="G3" s="13" t="b">
        <v>0</v>
      </c>
      <c r="H3" s="12" t="s">
        <v>58</v>
      </c>
      <c r="I3" s="13" t="b">
        <v>0</v>
      </c>
      <c r="J3" s="12" t="s">
        <v>59</v>
      </c>
    </row>
    <row r="4" spans="1:11" ht="40.799999999999997">
      <c r="A4" s="22">
        <f>A3+1</f>
        <v>2</v>
      </c>
      <c r="B4" s="23" t="s">
        <v>60</v>
      </c>
      <c r="C4" s="24" t="b">
        <v>0</v>
      </c>
      <c r="D4" s="25" t="s">
        <v>61</v>
      </c>
      <c r="E4" s="24" t="b">
        <v>0</v>
      </c>
      <c r="F4" s="23" t="s">
        <v>62</v>
      </c>
      <c r="G4" s="24" t="b">
        <v>0</v>
      </c>
      <c r="H4" s="23" t="s">
        <v>63</v>
      </c>
      <c r="I4" s="24" t="b">
        <v>0</v>
      </c>
      <c r="J4" s="23" t="s">
        <v>64</v>
      </c>
    </row>
    <row r="5" spans="1:11" ht="40.799999999999997">
      <c r="A5" s="16">
        <f>A4+1</f>
        <v>3</v>
      </c>
      <c r="B5" s="14" t="s">
        <v>65</v>
      </c>
      <c r="C5" s="13" t="b">
        <v>0</v>
      </c>
      <c r="D5" s="10" t="s">
        <v>66</v>
      </c>
      <c r="E5" s="13" t="b">
        <v>0</v>
      </c>
      <c r="F5" s="14" t="s">
        <v>67</v>
      </c>
      <c r="G5" s="13" t="b">
        <v>0</v>
      </c>
      <c r="H5" s="14" t="s">
        <v>68</v>
      </c>
      <c r="I5" s="13" t="b">
        <v>0</v>
      </c>
      <c r="J5" s="14" t="s">
        <v>69</v>
      </c>
    </row>
    <row r="6" spans="1:11" ht="81.599999999999994">
      <c r="A6" s="22">
        <f>A5+1</f>
        <v>4</v>
      </c>
      <c r="B6" s="23" t="s">
        <v>70</v>
      </c>
      <c r="C6" s="24" t="b">
        <v>0</v>
      </c>
      <c r="D6" s="33" t="s">
        <v>71</v>
      </c>
      <c r="E6" s="24" t="b">
        <v>0</v>
      </c>
      <c r="F6" s="33" t="s">
        <v>72</v>
      </c>
      <c r="G6" s="24" t="b">
        <v>0</v>
      </c>
      <c r="H6" s="33" t="s">
        <v>73</v>
      </c>
      <c r="I6" s="24" t="b">
        <v>0</v>
      </c>
      <c r="J6" s="33" t="s">
        <v>74</v>
      </c>
    </row>
    <row r="7" spans="1:11" ht="40.799999999999997">
      <c r="A7" s="16">
        <f t="shared" ref="A7:A62" si="0">A6+1</f>
        <v>5</v>
      </c>
      <c r="B7" s="14" t="s">
        <v>75</v>
      </c>
      <c r="C7" s="13" t="b">
        <v>0</v>
      </c>
      <c r="D7" s="14" t="s">
        <v>76</v>
      </c>
      <c r="E7" s="13" t="b">
        <v>0</v>
      </c>
      <c r="F7" s="14" t="s">
        <v>77</v>
      </c>
      <c r="G7" s="13" t="b">
        <v>0</v>
      </c>
      <c r="H7" s="14" t="s">
        <v>78</v>
      </c>
      <c r="I7" s="13" t="b">
        <v>0</v>
      </c>
      <c r="J7" s="14" t="s">
        <v>79</v>
      </c>
    </row>
    <row r="8" spans="1:11" ht="40.799999999999997">
      <c r="A8" s="22">
        <f t="shared" si="0"/>
        <v>6</v>
      </c>
      <c r="B8" s="23" t="s">
        <v>81</v>
      </c>
      <c r="C8" s="24" t="b">
        <v>0</v>
      </c>
      <c r="D8" s="23" t="s">
        <v>82</v>
      </c>
      <c r="E8" s="24" t="b">
        <v>0</v>
      </c>
      <c r="F8" s="23" t="s">
        <v>83</v>
      </c>
      <c r="G8" s="24" t="b">
        <v>0</v>
      </c>
      <c r="H8" s="23" t="s">
        <v>84</v>
      </c>
      <c r="I8" s="24" t="b">
        <v>0</v>
      </c>
      <c r="J8" s="23" t="s">
        <v>85</v>
      </c>
    </row>
    <row r="9" spans="1:11" ht="40.799999999999997">
      <c r="A9" s="16">
        <f t="shared" si="0"/>
        <v>7</v>
      </c>
      <c r="B9" s="14" t="s">
        <v>86</v>
      </c>
      <c r="C9" s="13" t="b">
        <v>0</v>
      </c>
      <c r="D9" s="14" t="s">
        <v>87</v>
      </c>
      <c r="E9" s="13" t="b">
        <v>0</v>
      </c>
      <c r="F9" s="14" t="s">
        <v>89</v>
      </c>
      <c r="G9" s="13" t="b">
        <v>0</v>
      </c>
      <c r="H9" s="14" t="s">
        <v>88</v>
      </c>
      <c r="I9" s="13" t="b">
        <v>0</v>
      </c>
      <c r="J9" s="14" t="s">
        <v>90</v>
      </c>
    </row>
    <row r="10" spans="1:11" ht="60">
      <c r="A10" s="22">
        <f t="shared" si="0"/>
        <v>8</v>
      </c>
      <c r="B10" s="23" t="s">
        <v>92</v>
      </c>
      <c r="C10" s="24" t="b">
        <v>0</v>
      </c>
      <c r="D10" s="36">
        <v>5</v>
      </c>
      <c r="E10" s="24" t="b">
        <v>0</v>
      </c>
      <c r="F10" s="36">
        <v>6</v>
      </c>
      <c r="G10" s="24" t="b">
        <v>0</v>
      </c>
      <c r="H10" s="36">
        <v>11</v>
      </c>
      <c r="I10" s="24" t="b">
        <v>0</v>
      </c>
      <c r="J10" s="25" t="s">
        <v>91</v>
      </c>
    </row>
    <row r="11" spans="1:11" ht="25.95" customHeight="1">
      <c r="A11" s="16">
        <f t="shared" si="0"/>
        <v>9</v>
      </c>
      <c r="B11" s="14" t="s">
        <v>93</v>
      </c>
      <c r="C11" s="13" t="b">
        <v>0</v>
      </c>
      <c r="D11" s="10" t="s">
        <v>94</v>
      </c>
      <c r="E11" s="13" t="b">
        <v>0</v>
      </c>
      <c r="F11" s="10" t="s">
        <v>95</v>
      </c>
      <c r="G11" s="13" t="b">
        <v>0</v>
      </c>
      <c r="H11" s="10" t="s">
        <v>96</v>
      </c>
      <c r="I11" s="13" t="b">
        <v>0</v>
      </c>
      <c r="J11" s="10" t="s">
        <v>97</v>
      </c>
    </row>
    <row r="12" spans="1:11" ht="73.2">
      <c r="A12" s="22">
        <f t="shared" si="0"/>
        <v>10</v>
      </c>
      <c r="B12" s="23" t="s">
        <v>98</v>
      </c>
      <c r="C12" s="24" t="b">
        <v>0</v>
      </c>
      <c r="D12" s="23" t="s">
        <v>99</v>
      </c>
      <c r="E12" s="24" t="b">
        <v>0</v>
      </c>
      <c r="F12" s="23" t="s">
        <v>100</v>
      </c>
      <c r="G12" s="24" t="b">
        <v>0</v>
      </c>
      <c r="H12" s="23" t="s">
        <v>101</v>
      </c>
      <c r="I12" s="24" t="b">
        <v>0</v>
      </c>
      <c r="J12" s="25" t="s">
        <v>102</v>
      </c>
    </row>
    <row r="13" spans="1:11" ht="40.799999999999997">
      <c r="A13" s="16">
        <f t="shared" si="0"/>
        <v>11</v>
      </c>
      <c r="B13" s="14" t="s">
        <v>103</v>
      </c>
      <c r="C13" s="13" t="b">
        <v>0</v>
      </c>
      <c r="D13" s="10" t="s">
        <v>104</v>
      </c>
      <c r="E13" s="13" t="b">
        <v>0</v>
      </c>
      <c r="F13" s="10" t="s">
        <v>105</v>
      </c>
      <c r="G13" s="13" t="b">
        <v>0</v>
      </c>
      <c r="H13" s="10" t="s">
        <v>106</v>
      </c>
      <c r="I13" s="13" t="b">
        <v>0</v>
      </c>
      <c r="J13" s="10" t="s">
        <v>107</v>
      </c>
    </row>
    <row r="14" spans="1:11" ht="40.799999999999997">
      <c r="A14" s="22">
        <f t="shared" si="0"/>
        <v>12</v>
      </c>
      <c r="B14" s="23" t="s">
        <v>108</v>
      </c>
      <c r="C14" s="24" t="b">
        <v>0</v>
      </c>
      <c r="D14" s="23" t="s">
        <v>109</v>
      </c>
      <c r="E14" s="24" t="b">
        <v>0</v>
      </c>
      <c r="F14" s="23" t="s">
        <v>110</v>
      </c>
      <c r="G14" s="24" t="b">
        <v>0</v>
      </c>
      <c r="H14" s="23" t="s">
        <v>111</v>
      </c>
      <c r="I14" s="24" t="b">
        <v>0</v>
      </c>
      <c r="J14" s="23" t="s">
        <v>112</v>
      </c>
    </row>
    <row r="15" spans="1:11" ht="81.599999999999994">
      <c r="A15" s="16">
        <f t="shared" si="0"/>
        <v>13</v>
      </c>
      <c r="B15" s="14" t="s">
        <v>113</v>
      </c>
      <c r="C15" s="13" t="b">
        <v>0</v>
      </c>
      <c r="D15" s="10" t="s">
        <v>114</v>
      </c>
      <c r="E15" s="13" t="b">
        <v>0</v>
      </c>
      <c r="F15" s="10" t="s">
        <v>115</v>
      </c>
      <c r="G15" s="13" t="b">
        <v>0</v>
      </c>
      <c r="H15" s="10" t="s">
        <v>116</v>
      </c>
      <c r="I15" s="13" t="b">
        <v>0</v>
      </c>
      <c r="J15" s="10" t="s">
        <v>117</v>
      </c>
    </row>
    <row r="16" spans="1:11" ht="40.799999999999997">
      <c r="A16" s="22">
        <f t="shared" si="0"/>
        <v>14</v>
      </c>
      <c r="B16" s="23" t="s">
        <v>118</v>
      </c>
      <c r="C16" s="24" t="b">
        <v>0</v>
      </c>
      <c r="D16" s="38" t="s">
        <v>119</v>
      </c>
      <c r="E16" s="24" t="b">
        <v>0</v>
      </c>
      <c r="F16" s="38" t="s">
        <v>120</v>
      </c>
      <c r="G16" s="24" t="b">
        <v>0</v>
      </c>
      <c r="H16" s="38" t="s">
        <v>121</v>
      </c>
      <c r="I16" s="24" t="b">
        <v>0</v>
      </c>
      <c r="J16" s="39" t="s">
        <v>122</v>
      </c>
    </row>
    <row r="17" spans="1:10" ht="183.6">
      <c r="A17" s="16">
        <f t="shared" si="0"/>
        <v>15</v>
      </c>
      <c r="B17" s="14" t="s">
        <v>123</v>
      </c>
      <c r="C17" s="13" t="b">
        <v>0</v>
      </c>
      <c r="D17" s="41" t="s">
        <v>124</v>
      </c>
      <c r="E17" s="13" t="b">
        <v>0</v>
      </c>
      <c r="F17" s="41" t="s">
        <v>125</v>
      </c>
      <c r="G17" s="13" t="b">
        <v>0</v>
      </c>
      <c r="H17" s="41" t="s">
        <v>126</v>
      </c>
      <c r="I17" s="13" t="b">
        <v>0</v>
      </c>
      <c r="J17" s="41" t="s">
        <v>127</v>
      </c>
    </row>
    <row r="18" spans="1:10" ht="163.19999999999999">
      <c r="A18" s="22">
        <f t="shared" si="0"/>
        <v>16</v>
      </c>
      <c r="B18" s="23" t="s">
        <v>128</v>
      </c>
      <c r="C18" s="24" t="b">
        <v>0</v>
      </c>
      <c r="D18" s="42" t="s">
        <v>129</v>
      </c>
      <c r="E18" s="24" t="b">
        <v>0</v>
      </c>
      <c r="F18" s="42" t="s">
        <v>130</v>
      </c>
      <c r="G18" s="24" t="b">
        <v>0</v>
      </c>
      <c r="H18" s="42" t="s">
        <v>131</v>
      </c>
      <c r="I18" s="24" t="b">
        <v>0</v>
      </c>
      <c r="J18" s="42" t="s">
        <v>132</v>
      </c>
    </row>
    <row r="19" spans="1:10" ht="61.2">
      <c r="A19" s="16">
        <f t="shared" si="0"/>
        <v>17</v>
      </c>
      <c r="B19" s="14" t="s">
        <v>133</v>
      </c>
      <c r="C19" s="13" t="b">
        <v>0</v>
      </c>
      <c r="D19" s="14" t="s">
        <v>134</v>
      </c>
      <c r="E19" s="13" t="b">
        <v>0</v>
      </c>
      <c r="F19" s="14" t="s">
        <v>135</v>
      </c>
      <c r="G19" s="13" t="b">
        <v>0</v>
      </c>
      <c r="H19" s="10" t="s">
        <v>136</v>
      </c>
      <c r="I19" s="13" t="b">
        <v>0</v>
      </c>
      <c r="J19" s="10" t="s">
        <v>137</v>
      </c>
    </row>
    <row r="20" spans="1:10" ht="40.799999999999997">
      <c r="A20" s="22">
        <f t="shared" si="0"/>
        <v>18</v>
      </c>
      <c r="B20" s="23" t="s">
        <v>138</v>
      </c>
      <c r="C20" s="24" t="b">
        <v>0</v>
      </c>
      <c r="D20" s="25" t="s">
        <v>139</v>
      </c>
      <c r="E20" s="24" t="b">
        <v>0</v>
      </c>
      <c r="F20" s="25" t="s">
        <v>140</v>
      </c>
      <c r="G20" s="24" t="b">
        <v>0</v>
      </c>
      <c r="H20" s="25" t="s">
        <v>141</v>
      </c>
      <c r="I20" s="24" t="b">
        <v>0</v>
      </c>
      <c r="J20" s="25" t="s">
        <v>142</v>
      </c>
    </row>
    <row r="21" spans="1:10" ht="93.6">
      <c r="A21" s="16">
        <f t="shared" si="0"/>
        <v>19</v>
      </c>
      <c r="B21" s="14" t="s">
        <v>143</v>
      </c>
      <c r="C21" s="13" t="b">
        <v>0</v>
      </c>
      <c r="D21" s="10" t="s">
        <v>144</v>
      </c>
      <c r="E21" s="13" t="b">
        <v>0</v>
      </c>
      <c r="F21" s="10" t="s">
        <v>145</v>
      </c>
      <c r="G21" s="13" t="b">
        <v>0</v>
      </c>
      <c r="H21" s="10" t="s">
        <v>146</v>
      </c>
      <c r="I21" s="13" t="b">
        <v>0</v>
      </c>
      <c r="J21" s="14" t="s">
        <v>147</v>
      </c>
    </row>
    <row r="22" spans="1:10" ht="40.799999999999997">
      <c r="A22" s="22">
        <f t="shared" si="0"/>
        <v>20</v>
      </c>
      <c r="B22" s="23" t="s">
        <v>152</v>
      </c>
      <c r="C22" s="24" t="b">
        <v>0</v>
      </c>
      <c r="D22" s="25" t="s">
        <v>148</v>
      </c>
      <c r="E22" s="24" t="b">
        <v>0</v>
      </c>
      <c r="F22" s="23" t="s">
        <v>149</v>
      </c>
      <c r="G22" s="24" t="b">
        <v>0</v>
      </c>
      <c r="H22" s="25" t="s">
        <v>150</v>
      </c>
      <c r="I22" s="24" t="b">
        <v>0</v>
      </c>
      <c r="J22" s="25" t="s">
        <v>151</v>
      </c>
    </row>
    <row r="23" spans="1:10" ht="120">
      <c r="A23" s="16">
        <f t="shared" si="0"/>
        <v>21</v>
      </c>
      <c r="B23" s="14" t="s">
        <v>153</v>
      </c>
      <c r="C23" s="13" t="b">
        <v>0</v>
      </c>
      <c r="D23" s="10" t="s">
        <v>154</v>
      </c>
      <c r="E23" s="13" t="b">
        <v>0</v>
      </c>
      <c r="F23" s="10" t="s">
        <v>155</v>
      </c>
      <c r="G23" s="13" t="b">
        <v>0</v>
      </c>
      <c r="H23" s="10" t="s">
        <v>156</v>
      </c>
      <c r="I23" s="13" t="b">
        <v>0</v>
      </c>
      <c r="J23" s="10" t="s">
        <v>157</v>
      </c>
    </row>
    <row r="24" spans="1:10" ht="40.799999999999997">
      <c r="A24" s="22">
        <f t="shared" si="0"/>
        <v>22</v>
      </c>
      <c r="B24" s="23" t="s">
        <v>158</v>
      </c>
      <c r="C24" s="24" t="b">
        <v>0</v>
      </c>
      <c r="D24" s="23" t="s">
        <v>159</v>
      </c>
      <c r="E24" s="24" t="b">
        <v>0</v>
      </c>
      <c r="F24" s="23" t="s">
        <v>160</v>
      </c>
      <c r="G24" s="24" t="b">
        <v>0</v>
      </c>
      <c r="H24" s="25" t="s">
        <v>161</v>
      </c>
      <c r="I24" s="24" t="b">
        <v>0</v>
      </c>
      <c r="J24" s="25" t="s">
        <v>162</v>
      </c>
    </row>
    <row r="25" spans="1:10" ht="183.6">
      <c r="A25" s="16">
        <f t="shared" si="0"/>
        <v>23</v>
      </c>
      <c r="B25" s="14" t="s">
        <v>163</v>
      </c>
      <c r="C25" s="13" t="b">
        <v>0</v>
      </c>
      <c r="D25" s="14" t="s">
        <v>164</v>
      </c>
      <c r="E25" s="13" t="b">
        <v>0</v>
      </c>
      <c r="F25" s="10" t="s">
        <v>165</v>
      </c>
      <c r="G25" s="13" t="b">
        <v>0</v>
      </c>
      <c r="H25" s="14" t="s">
        <v>166</v>
      </c>
      <c r="I25" s="13" t="b">
        <v>0</v>
      </c>
      <c r="J25" s="14" t="s">
        <v>167</v>
      </c>
    </row>
    <row r="26" spans="1:10" ht="40.799999999999997">
      <c r="A26" s="22">
        <f t="shared" si="0"/>
        <v>24</v>
      </c>
      <c r="B26" s="23" t="s">
        <v>168</v>
      </c>
      <c r="C26" s="24" t="b">
        <v>0</v>
      </c>
      <c r="D26" s="23" t="s">
        <v>169</v>
      </c>
      <c r="E26" s="24" t="b">
        <v>0</v>
      </c>
      <c r="F26" s="23" t="s">
        <v>170</v>
      </c>
      <c r="G26" s="24" t="b">
        <v>0</v>
      </c>
      <c r="H26" s="23" t="s">
        <v>171</v>
      </c>
      <c r="I26" s="24" t="b">
        <v>0</v>
      </c>
      <c r="J26" s="23" t="s">
        <v>172</v>
      </c>
    </row>
    <row r="27" spans="1:10" ht="61.2">
      <c r="A27" s="16">
        <f t="shared" si="0"/>
        <v>25</v>
      </c>
      <c r="B27" s="14" t="s">
        <v>173</v>
      </c>
      <c r="C27" s="13" t="b">
        <v>0</v>
      </c>
      <c r="D27" s="14" t="s">
        <v>174</v>
      </c>
      <c r="E27" s="13" t="b">
        <v>0</v>
      </c>
      <c r="F27" s="14" t="s">
        <v>175</v>
      </c>
      <c r="G27" s="13" t="b">
        <v>0</v>
      </c>
      <c r="H27" s="14" t="s">
        <v>176</v>
      </c>
      <c r="I27" s="13" t="b">
        <v>0</v>
      </c>
      <c r="J27" s="14" t="s">
        <v>177</v>
      </c>
    </row>
    <row r="28" spans="1:10" ht="40.799999999999997">
      <c r="A28" s="22">
        <f t="shared" si="0"/>
        <v>26</v>
      </c>
      <c r="B28" s="23" t="s">
        <v>178</v>
      </c>
      <c r="C28" s="24" t="b">
        <v>0</v>
      </c>
      <c r="D28" s="25" t="s">
        <v>179</v>
      </c>
      <c r="E28" s="24" t="b">
        <v>0</v>
      </c>
      <c r="F28" s="23" t="s">
        <v>180</v>
      </c>
      <c r="G28" s="24" t="b">
        <v>0</v>
      </c>
      <c r="H28" s="25" t="s">
        <v>181</v>
      </c>
      <c r="I28" s="24" t="b">
        <v>0</v>
      </c>
      <c r="J28" s="25" t="s">
        <v>182</v>
      </c>
    </row>
    <row r="29" spans="1:10" ht="81.599999999999994">
      <c r="A29" s="16">
        <f t="shared" si="0"/>
        <v>27</v>
      </c>
      <c r="B29" s="14" t="s">
        <v>183</v>
      </c>
      <c r="C29" s="13" t="b">
        <v>0</v>
      </c>
      <c r="D29" s="14" t="s">
        <v>184</v>
      </c>
      <c r="E29" s="13" t="b">
        <v>0</v>
      </c>
      <c r="F29" s="14" t="s">
        <v>185</v>
      </c>
      <c r="G29" s="13" t="b">
        <v>0</v>
      </c>
      <c r="H29" s="14" t="s">
        <v>186</v>
      </c>
      <c r="I29" s="13" t="b">
        <v>0</v>
      </c>
      <c r="J29" s="10" t="s">
        <v>187</v>
      </c>
    </row>
    <row r="30" spans="1:10" ht="40.799999999999997">
      <c r="A30" s="22">
        <f t="shared" si="0"/>
        <v>28</v>
      </c>
      <c r="B30" s="23" t="s">
        <v>188</v>
      </c>
      <c r="C30" s="24" t="b">
        <v>0</v>
      </c>
      <c r="D30" s="23" t="s">
        <v>189</v>
      </c>
      <c r="E30" s="24" t="b">
        <v>0</v>
      </c>
      <c r="F30" s="23" t="s">
        <v>190</v>
      </c>
      <c r="G30" s="24" t="b">
        <v>0</v>
      </c>
      <c r="H30" s="25" t="s">
        <v>191</v>
      </c>
      <c r="I30" s="24" t="b">
        <v>0</v>
      </c>
      <c r="J30" s="25" t="s">
        <v>192</v>
      </c>
    </row>
    <row r="31" spans="1:10" ht="61.2">
      <c r="A31" s="16">
        <f t="shared" si="0"/>
        <v>29</v>
      </c>
      <c r="B31" s="14" t="s">
        <v>193</v>
      </c>
      <c r="C31" s="13" t="b">
        <v>0</v>
      </c>
      <c r="D31" s="10" t="s">
        <v>194</v>
      </c>
      <c r="E31" s="13" t="b">
        <v>0</v>
      </c>
      <c r="F31" s="14" t="s">
        <v>195</v>
      </c>
      <c r="G31" s="13" t="b">
        <v>0</v>
      </c>
      <c r="H31" s="10" t="s">
        <v>196</v>
      </c>
      <c r="I31" s="13" t="b">
        <v>0</v>
      </c>
      <c r="J31" s="10" t="s">
        <v>197</v>
      </c>
    </row>
    <row r="32" spans="1:10" ht="61.2">
      <c r="A32" s="22">
        <f t="shared" si="0"/>
        <v>30</v>
      </c>
      <c r="B32" s="23" t="s">
        <v>198</v>
      </c>
      <c r="C32" s="24" t="b">
        <v>0</v>
      </c>
      <c r="D32" s="25" t="s">
        <v>199</v>
      </c>
      <c r="E32" s="24" t="b">
        <v>0</v>
      </c>
      <c r="F32" s="23" t="s">
        <v>200</v>
      </c>
      <c r="G32" s="24" t="b">
        <v>0</v>
      </c>
      <c r="H32" s="23" t="s">
        <v>318</v>
      </c>
      <c r="I32" s="24" t="b">
        <v>0</v>
      </c>
      <c r="J32" s="23" t="s">
        <v>201</v>
      </c>
    </row>
    <row r="33" spans="1:10" ht="40.799999999999997">
      <c r="A33" s="16">
        <f t="shared" si="0"/>
        <v>31</v>
      </c>
      <c r="B33" s="14" t="s">
        <v>202</v>
      </c>
      <c r="C33" s="13" t="b">
        <v>0</v>
      </c>
      <c r="D33" s="10" t="s">
        <v>203</v>
      </c>
      <c r="E33" s="13" t="b">
        <v>0</v>
      </c>
      <c r="F33" s="14" t="s">
        <v>204</v>
      </c>
      <c r="G33" s="13" t="b">
        <v>0</v>
      </c>
      <c r="H33" s="14" t="s">
        <v>205</v>
      </c>
      <c r="I33" s="13" t="b">
        <v>0</v>
      </c>
      <c r="J33" s="14" t="s">
        <v>206</v>
      </c>
    </row>
    <row r="34" spans="1:10" ht="40.799999999999997">
      <c r="A34" s="22">
        <f t="shared" si="0"/>
        <v>32</v>
      </c>
      <c r="B34" s="23" t="s">
        <v>207</v>
      </c>
      <c r="C34" s="24" t="b">
        <v>0</v>
      </c>
      <c r="D34" s="25" t="s">
        <v>208</v>
      </c>
      <c r="E34" s="24" t="b">
        <v>0</v>
      </c>
      <c r="F34" s="23" t="s">
        <v>209</v>
      </c>
      <c r="G34" s="24" t="b">
        <v>0</v>
      </c>
      <c r="H34" s="23" t="s">
        <v>210</v>
      </c>
      <c r="I34" s="24" t="b">
        <v>0</v>
      </c>
      <c r="J34" s="23" t="s">
        <v>211</v>
      </c>
    </row>
    <row r="35" spans="1:10" ht="61.2">
      <c r="A35" s="16">
        <f t="shared" si="0"/>
        <v>33</v>
      </c>
      <c r="B35" s="14" t="s">
        <v>212</v>
      </c>
      <c r="C35" s="13" t="b">
        <v>0</v>
      </c>
      <c r="D35" s="14" t="s">
        <v>213</v>
      </c>
      <c r="E35" s="13" t="b">
        <v>0</v>
      </c>
      <c r="F35" s="14" t="s">
        <v>214</v>
      </c>
      <c r="G35" s="13" t="b">
        <v>0</v>
      </c>
      <c r="H35" s="14" t="s">
        <v>215</v>
      </c>
      <c r="I35" s="13" t="b">
        <v>0</v>
      </c>
      <c r="J35" s="14" t="s">
        <v>216</v>
      </c>
    </row>
    <row r="36" spans="1:10" ht="40.799999999999997">
      <c r="A36" s="22">
        <f t="shared" si="0"/>
        <v>34</v>
      </c>
      <c r="B36" s="23" t="s">
        <v>217</v>
      </c>
      <c r="C36" s="24" t="b">
        <v>0</v>
      </c>
      <c r="D36" s="25" t="s">
        <v>218</v>
      </c>
      <c r="E36" s="24" t="b">
        <v>0</v>
      </c>
      <c r="F36" s="25" t="s">
        <v>219</v>
      </c>
      <c r="G36" s="24" t="b">
        <v>0</v>
      </c>
      <c r="H36" s="25" t="s">
        <v>220</v>
      </c>
      <c r="I36" s="24" t="b">
        <v>0</v>
      </c>
      <c r="J36" s="25" t="s">
        <v>221</v>
      </c>
    </row>
    <row r="37" spans="1:10" ht="40.799999999999997">
      <c r="A37" s="16">
        <f t="shared" si="0"/>
        <v>35</v>
      </c>
      <c r="B37" s="14" t="s">
        <v>226</v>
      </c>
      <c r="C37" s="13" t="b">
        <v>0</v>
      </c>
      <c r="D37" s="10" t="s">
        <v>222</v>
      </c>
      <c r="E37" s="13" t="b">
        <v>0</v>
      </c>
      <c r="F37" s="10" t="s">
        <v>223</v>
      </c>
      <c r="G37" s="13" t="b">
        <v>0</v>
      </c>
      <c r="H37" s="14" t="s">
        <v>224</v>
      </c>
      <c r="I37" s="13" t="b">
        <v>0</v>
      </c>
      <c r="J37" s="14" t="s">
        <v>225</v>
      </c>
    </row>
    <row r="38" spans="1:10" ht="81.599999999999994">
      <c r="A38" s="22">
        <f t="shared" si="0"/>
        <v>36</v>
      </c>
      <c r="B38" s="23" t="s">
        <v>227</v>
      </c>
      <c r="C38" s="24" t="b">
        <v>0</v>
      </c>
      <c r="D38" s="25" t="s">
        <v>228</v>
      </c>
      <c r="E38" s="24" t="b">
        <v>0</v>
      </c>
      <c r="F38" s="25" t="s">
        <v>231</v>
      </c>
      <c r="G38" s="24" t="b">
        <v>0</v>
      </c>
      <c r="H38" s="25" t="s">
        <v>229</v>
      </c>
      <c r="I38" s="24" t="b">
        <v>0</v>
      </c>
      <c r="J38" s="25" t="s">
        <v>230</v>
      </c>
    </row>
    <row r="39" spans="1:10" ht="40.799999999999997">
      <c r="A39" s="16">
        <f t="shared" si="0"/>
        <v>37</v>
      </c>
      <c r="B39" s="14" t="s">
        <v>232</v>
      </c>
      <c r="C39" s="13" t="b">
        <v>0</v>
      </c>
      <c r="D39" s="14" t="s">
        <v>233</v>
      </c>
      <c r="E39" s="13" t="b">
        <v>0</v>
      </c>
      <c r="F39" s="10" t="s">
        <v>234</v>
      </c>
      <c r="G39" s="13" t="b">
        <v>0</v>
      </c>
      <c r="H39" s="10" t="s">
        <v>235</v>
      </c>
      <c r="I39" s="13" t="b">
        <v>0</v>
      </c>
      <c r="J39" s="10" t="s">
        <v>236</v>
      </c>
    </row>
    <row r="40" spans="1:10">
      <c r="A40" s="22">
        <f t="shared" si="0"/>
        <v>38</v>
      </c>
      <c r="B40" s="23" t="s">
        <v>237</v>
      </c>
      <c r="C40" s="24" t="b">
        <v>0</v>
      </c>
      <c r="D40" s="25" t="s">
        <v>238</v>
      </c>
      <c r="E40" s="24" t="b">
        <v>0</v>
      </c>
      <c r="F40" s="25" t="s">
        <v>239</v>
      </c>
      <c r="G40" s="24" t="b">
        <v>0</v>
      </c>
      <c r="H40" s="25" t="s">
        <v>240</v>
      </c>
      <c r="I40" s="24" t="b">
        <v>0</v>
      </c>
      <c r="J40" s="25" t="s">
        <v>241</v>
      </c>
    </row>
    <row r="41" spans="1:10" ht="73.2">
      <c r="A41" s="16">
        <f t="shared" si="0"/>
        <v>39</v>
      </c>
      <c r="B41" s="14" t="s">
        <v>242</v>
      </c>
      <c r="C41" s="13" t="b">
        <v>0</v>
      </c>
      <c r="D41" s="43" t="s">
        <v>243</v>
      </c>
      <c r="E41" s="13" t="b">
        <v>0</v>
      </c>
      <c r="F41" s="44">
        <v>0</v>
      </c>
      <c r="G41" s="13" t="b">
        <v>0</v>
      </c>
      <c r="H41" s="44">
        <v>1</v>
      </c>
      <c r="I41" s="13" t="b">
        <v>0</v>
      </c>
      <c r="J41" s="10" t="s">
        <v>244</v>
      </c>
    </row>
    <row r="42" spans="1:10" ht="40.799999999999997">
      <c r="A42" s="22">
        <f t="shared" si="0"/>
        <v>40</v>
      </c>
      <c r="B42" s="23" t="s">
        <v>245</v>
      </c>
      <c r="C42" s="24" t="b">
        <v>0</v>
      </c>
      <c r="D42" s="25" t="s">
        <v>246</v>
      </c>
      <c r="E42" s="24" t="b">
        <v>0</v>
      </c>
      <c r="F42" s="25" t="s">
        <v>247</v>
      </c>
      <c r="G42" s="24" t="b">
        <v>0</v>
      </c>
      <c r="H42" s="25" t="s">
        <v>248</v>
      </c>
      <c r="I42" s="24" t="b">
        <v>0</v>
      </c>
      <c r="J42" s="25" t="s">
        <v>249</v>
      </c>
    </row>
    <row r="43" spans="1:10" ht="40.799999999999997">
      <c r="A43" s="16">
        <f t="shared" si="0"/>
        <v>41</v>
      </c>
      <c r="B43" s="14" t="s">
        <v>250</v>
      </c>
      <c r="C43" s="13" t="b">
        <v>0</v>
      </c>
      <c r="D43" s="10" t="s">
        <v>251</v>
      </c>
      <c r="E43" s="13" t="b">
        <v>0</v>
      </c>
      <c r="F43" s="10" t="s">
        <v>252</v>
      </c>
      <c r="G43" s="13" t="b">
        <v>0</v>
      </c>
      <c r="H43" s="10" t="s">
        <v>253</v>
      </c>
      <c r="I43" s="13" t="b">
        <v>0</v>
      </c>
      <c r="J43" s="10" t="s">
        <v>254</v>
      </c>
    </row>
    <row r="44" spans="1:10" ht="61.2">
      <c r="A44" s="22">
        <f t="shared" si="0"/>
        <v>42</v>
      </c>
      <c r="B44" s="23" t="s">
        <v>255</v>
      </c>
      <c r="C44" s="24" t="b">
        <v>0</v>
      </c>
      <c r="D44" s="25" t="s">
        <v>256</v>
      </c>
      <c r="E44" s="24" t="b">
        <v>0</v>
      </c>
      <c r="F44" s="25" t="s">
        <v>257</v>
      </c>
      <c r="G44" s="24" t="b">
        <v>0</v>
      </c>
      <c r="H44" s="25" t="s">
        <v>258</v>
      </c>
      <c r="I44" s="24" t="b">
        <v>0</v>
      </c>
      <c r="J44" s="25" t="s">
        <v>259</v>
      </c>
    </row>
    <row r="45" spans="1:10" ht="79.2">
      <c r="A45" s="16">
        <f t="shared" si="0"/>
        <v>43</v>
      </c>
      <c r="B45" s="14" t="s">
        <v>260</v>
      </c>
      <c r="C45" s="13" t="b">
        <v>0</v>
      </c>
      <c r="D45" s="45" t="s">
        <v>261</v>
      </c>
      <c r="E45" s="46" t="b">
        <v>0</v>
      </c>
      <c r="F45" s="45" t="s">
        <v>262</v>
      </c>
      <c r="G45" s="46" t="b">
        <v>0</v>
      </c>
      <c r="H45" s="45" t="s">
        <v>263</v>
      </c>
      <c r="I45" s="46" t="b">
        <v>0</v>
      </c>
      <c r="J45" s="45" t="s">
        <v>264</v>
      </c>
    </row>
    <row r="46" spans="1:10">
      <c r="A46" s="22">
        <f t="shared" si="0"/>
        <v>44</v>
      </c>
      <c r="B46" s="23" t="s">
        <v>265</v>
      </c>
      <c r="C46" s="24" t="b">
        <v>0</v>
      </c>
      <c r="D46" s="25" t="s">
        <v>266</v>
      </c>
      <c r="E46" s="24" t="b">
        <v>0</v>
      </c>
      <c r="F46" s="25" t="s">
        <v>267</v>
      </c>
      <c r="G46" s="24" t="b">
        <v>0</v>
      </c>
      <c r="H46" s="25" t="s">
        <v>267</v>
      </c>
      <c r="I46" s="24" t="b">
        <v>0</v>
      </c>
      <c r="J46" s="25" t="s">
        <v>267</v>
      </c>
    </row>
    <row r="47" spans="1:10" ht="40.799999999999997">
      <c r="A47" s="16">
        <f t="shared" si="0"/>
        <v>45</v>
      </c>
      <c r="B47" s="14" t="s">
        <v>272</v>
      </c>
      <c r="C47" s="13" t="b">
        <v>0</v>
      </c>
      <c r="D47" s="10" t="s">
        <v>273</v>
      </c>
      <c r="E47" s="13" t="b">
        <v>0</v>
      </c>
      <c r="F47" s="10" t="s">
        <v>274</v>
      </c>
      <c r="G47" s="13" t="b">
        <v>0</v>
      </c>
      <c r="H47" s="10" t="s">
        <v>275</v>
      </c>
      <c r="I47" s="13" t="b">
        <v>0</v>
      </c>
      <c r="J47" s="43" t="s">
        <v>276</v>
      </c>
    </row>
    <row r="48" spans="1:10" ht="118.8">
      <c r="A48" s="22">
        <f t="shared" si="0"/>
        <v>46</v>
      </c>
      <c r="B48" s="23" t="s">
        <v>277</v>
      </c>
      <c r="C48" s="24" t="b">
        <v>0</v>
      </c>
      <c r="D48" s="33" t="s">
        <v>278</v>
      </c>
      <c r="E48" s="24" t="b">
        <v>0</v>
      </c>
      <c r="F48" s="33" t="s">
        <v>279</v>
      </c>
      <c r="G48" s="24" t="b">
        <v>0</v>
      </c>
      <c r="H48" s="33" t="s">
        <v>280</v>
      </c>
      <c r="I48" s="24" t="b">
        <v>0</v>
      </c>
      <c r="J48" s="33" t="s">
        <v>281</v>
      </c>
    </row>
    <row r="49" spans="1:10" ht="40.799999999999997">
      <c r="A49" s="16">
        <f t="shared" si="0"/>
        <v>47</v>
      </c>
      <c r="B49" s="14" t="s">
        <v>282</v>
      </c>
      <c r="C49" s="13" t="b">
        <v>0</v>
      </c>
      <c r="D49" s="10" t="s">
        <v>283</v>
      </c>
      <c r="E49" s="13" t="b">
        <v>0</v>
      </c>
      <c r="F49" s="10" t="s">
        <v>284</v>
      </c>
      <c r="G49" s="13" t="b">
        <v>0</v>
      </c>
      <c r="H49" s="10" t="s">
        <v>285</v>
      </c>
      <c r="I49" s="13" t="b">
        <v>0</v>
      </c>
      <c r="J49" s="10" t="s">
        <v>286</v>
      </c>
    </row>
    <row r="50" spans="1:10" ht="40.799999999999997">
      <c r="A50" s="22">
        <f t="shared" si="0"/>
        <v>48</v>
      </c>
      <c r="B50" s="23" t="s">
        <v>287</v>
      </c>
      <c r="C50" s="24" t="b">
        <v>0</v>
      </c>
      <c r="D50" s="33" t="s">
        <v>288</v>
      </c>
      <c r="E50" s="24" t="b">
        <v>0</v>
      </c>
      <c r="F50" s="33" t="s">
        <v>289</v>
      </c>
      <c r="G50" s="24" t="b">
        <v>0</v>
      </c>
      <c r="H50" s="33" t="s">
        <v>290</v>
      </c>
      <c r="I50" s="24" t="b">
        <v>0</v>
      </c>
      <c r="J50" s="33" t="s">
        <v>291</v>
      </c>
    </row>
    <row r="51" spans="1:10" ht="52.8">
      <c r="A51" s="16">
        <f t="shared" si="0"/>
        <v>49</v>
      </c>
      <c r="B51" s="14" t="s">
        <v>292</v>
      </c>
      <c r="C51" s="13" t="b">
        <v>0</v>
      </c>
      <c r="D51" s="48" t="s">
        <v>293</v>
      </c>
      <c r="E51" s="13" t="b">
        <v>0</v>
      </c>
      <c r="F51" s="48" t="s">
        <v>294</v>
      </c>
      <c r="G51" s="13" t="b">
        <v>0</v>
      </c>
      <c r="H51" s="48" t="s">
        <v>295</v>
      </c>
      <c r="I51" s="13" t="b">
        <v>0</v>
      </c>
      <c r="J51" s="48" t="s">
        <v>296</v>
      </c>
    </row>
    <row r="52" spans="1:10" ht="40.799999999999997">
      <c r="A52" s="22">
        <f t="shared" si="0"/>
        <v>50</v>
      </c>
      <c r="B52" s="23" t="s">
        <v>298</v>
      </c>
      <c r="C52" s="24" t="b">
        <v>0</v>
      </c>
      <c r="D52" s="25" t="s">
        <v>299</v>
      </c>
      <c r="E52" s="24" t="b">
        <v>0</v>
      </c>
      <c r="F52" s="23" t="s">
        <v>300</v>
      </c>
      <c r="G52" s="24" t="b">
        <v>0</v>
      </c>
      <c r="H52" s="25" t="s">
        <v>301</v>
      </c>
      <c r="I52" s="24" t="b">
        <v>0</v>
      </c>
      <c r="J52" s="25" t="s">
        <v>302</v>
      </c>
    </row>
    <row r="53" spans="1:10" ht="40.799999999999997">
      <c r="A53" s="16">
        <f t="shared" si="0"/>
        <v>51</v>
      </c>
      <c r="B53" s="14" t="s">
        <v>303</v>
      </c>
      <c r="C53" s="13" t="b">
        <v>0</v>
      </c>
      <c r="D53" s="10" t="s">
        <v>304</v>
      </c>
      <c r="E53" s="13" t="b">
        <v>0</v>
      </c>
      <c r="F53" s="14" t="s">
        <v>305</v>
      </c>
      <c r="G53" s="13" t="b">
        <v>0</v>
      </c>
      <c r="H53" s="10" t="s">
        <v>306</v>
      </c>
      <c r="I53" s="13" t="b">
        <v>0</v>
      </c>
      <c r="J53" s="10" t="s">
        <v>307</v>
      </c>
    </row>
    <row r="54" spans="1:10" ht="40.799999999999997">
      <c r="A54" s="22">
        <f t="shared" si="0"/>
        <v>52</v>
      </c>
      <c r="B54" s="23" t="s">
        <v>308</v>
      </c>
      <c r="C54" s="24" t="b">
        <v>0</v>
      </c>
      <c r="D54" s="25" t="s">
        <v>309</v>
      </c>
      <c r="E54" s="24" t="b">
        <v>0</v>
      </c>
      <c r="F54" s="25" t="s">
        <v>310</v>
      </c>
      <c r="G54" s="24" t="b">
        <v>0</v>
      </c>
      <c r="H54" s="25" t="s">
        <v>311</v>
      </c>
      <c r="I54" s="24" t="b">
        <v>0</v>
      </c>
      <c r="J54" s="25" t="s">
        <v>312</v>
      </c>
    </row>
    <row r="55" spans="1:10" ht="61.2">
      <c r="A55" s="16">
        <f t="shared" si="0"/>
        <v>53</v>
      </c>
      <c r="B55" s="14" t="s">
        <v>313</v>
      </c>
      <c r="C55" s="13" t="b">
        <v>0</v>
      </c>
      <c r="D55" s="10" t="s">
        <v>314</v>
      </c>
      <c r="E55" s="13" t="b">
        <v>0</v>
      </c>
      <c r="F55" s="10" t="s">
        <v>315</v>
      </c>
      <c r="G55" s="13" t="b">
        <v>0</v>
      </c>
      <c r="H55" s="10" t="s">
        <v>316</v>
      </c>
      <c r="I55" s="13" t="b">
        <v>0</v>
      </c>
      <c r="J55" s="10" t="s">
        <v>317</v>
      </c>
    </row>
    <row r="56" spans="1:10" ht="61.2">
      <c r="A56" s="22">
        <f t="shared" si="0"/>
        <v>54</v>
      </c>
      <c r="B56" s="23" t="s">
        <v>319</v>
      </c>
      <c r="C56" s="24" t="b">
        <v>0</v>
      </c>
      <c r="D56" s="23" t="s">
        <v>321</v>
      </c>
      <c r="E56" s="24" t="b">
        <v>0</v>
      </c>
      <c r="F56" s="23" t="s">
        <v>320</v>
      </c>
      <c r="G56" s="24" t="b">
        <v>0</v>
      </c>
      <c r="H56" s="25" t="s">
        <v>322</v>
      </c>
      <c r="I56" s="24" t="b">
        <v>0</v>
      </c>
      <c r="J56" s="25" t="s">
        <v>323</v>
      </c>
    </row>
    <row r="57" spans="1:10" ht="61.2">
      <c r="A57" s="16">
        <f t="shared" si="0"/>
        <v>55</v>
      </c>
      <c r="B57" s="14" t="s">
        <v>324</v>
      </c>
      <c r="C57" s="13" t="b">
        <v>0</v>
      </c>
      <c r="D57" s="14" t="s">
        <v>325</v>
      </c>
      <c r="E57" s="13" t="b">
        <v>0</v>
      </c>
      <c r="F57" s="14" t="s">
        <v>328</v>
      </c>
      <c r="G57" s="13" t="b">
        <v>0</v>
      </c>
      <c r="H57" s="10" t="s">
        <v>326</v>
      </c>
      <c r="I57" s="13" t="b">
        <v>0</v>
      </c>
      <c r="J57" s="10" t="s">
        <v>327</v>
      </c>
    </row>
    <row r="58" spans="1:10" ht="61.2">
      <c r="A58" s="22">
        <f t="shared" si="0"/>
        <v>56</v>
      </c>
      <c r="B58" s="23" t="s">
        <v>329</v>
      </c>
      <c r="C58" s="24" t="b">
        <v>0</v>
      </c>
      <c r="D58" s="23" t="s">
        <v>330</v>
      </c>
      <c r="E58" s="24" t="b">
        <v>0</v>
      </c>
      <c r="F58" s="23" t="s">
        <v>331</v>
      </c>
      <c r="G58" s="24" t="b">
        <v>0</v>
      </c>
      <c r="H58" s="23" t="s">
        <v>332</v>
      </c>
      <c r="I58" s="24" t="b">
        <v>0</v>
      </c>
      <c r="J58" s="23" t="s">
        <v>333</v>
      </c>
    </row>
    <row r="59" spans="1:10" ht="81.599999999999994">
      <c r="A59" s="16">
        <f t="shared" si="0"/>
        <v>57</v>
      </c>
      <c r="B59" s="14" t="s">
        <v>334</v>
      </c>
      <c r="C59" s="13" t="b">
        <v>0</v>
      </c>
      <c r="D59" s="14" t="s">
        <v>338</v>
      </c>
      <c r="E59" s="13" t="b">
        <v>0</v>
      </c>
      <c r="F59" s="14" t="s">
        <v>337</v>
      </c>
      <c r="G59" s="13" t="b">
        <v>0</v>
      </c>
      <c r="H59" s="14" t="s">
        <v>336</v>
      </c>
      <c r="I59" s="13" t="b">
        <v>0</v>
      </c>
      <c r="J59" s="10" t="s">
        <v>335</v>
      </c>
    </row>
    <row r="60" spans="1:10" ht="61.2">
      <c r="A60" s="22">
        <f t="shared" si="0"/>
        <v>58</v>
      </c>
      <c r="B60" s="23" t="s">
        <v>339</v>
      </c>
      <c r="C60" s="24" t="b">
        <v>0</v>
      </c>
      <c r="D60" s="23" t="s">
        <v>340</v>
      </c>
      <c r="E60" s="24" t="b">
        <v>0</v>
      </c>
      <c r="F60" s="23" t="s">
        <v>341</v>
      </c>
      <c r="G60" s="24" t="b">
        <v>0</v>
      </c>
      <c r="H60" s="23" t="s">
        <v>342</v>
      </c>
      <c r="I60" s="24" t="b">
        <v>0</v>
      </c>
      <c r="J60" s="23" t="s">
        <v>343</v>
      </c>
    </row>
    <row r="61" spans="1:10" ht="61.2">
      <c r="A61" s="16">
        <f t="shared" si="0"/>
        <v>59</v>
      </c>
      <c r="B61" s="14" t="s">
        <v>344</v>
      </c>
      <c r="C61" s="13" t="b">
        <v>0</v>
      </c>
      <c r="D61" s="14" t="s">
        <v>345</v>
      </c>
      <c r="E61" s="13" t="b">
        <v>0</v>
      </c>
      <c r="F61" s="14" t="s">
        <v>346</v>
      </c>
      <c r="G61" s="13" t="b">
        <v>0</v>
      </c>
      <c r="H61" s="14" t="s">
        <v>347</v>
      </c>
      <c r="I61" s="13" t="b">
        <v>0</v>
      </c>
      <c r="J61" s="14" t="s">
        <v>348</v>
      </c>
    </row>
    <row r="62" spans="1:10" ht="40.799999999999997">
      <c r="A62" s="22">
        <f t="shared" si="0"/>
        <v>60</v>
      </c>
      <c r="B62" s="23" t="s">
        <v>353</v>
      </c>
      <c r="C62" s="24" t="b">
        <v>0</v>
      </c>
      <c r="D62" s="25" t="s">
        <v>349</v>
      </c>
      <c r="E62" s="24" t="b">
        <v>0</v>
      </c>
      <c r="F62" s="25" t="s">
        <v>350</v>
      </c>
      <c r="G62" s="24" t="b">
        <v>0</v>
      </c>
      <c r="H62" s="25" t="s">
        <v>351</v>
      </c>
      <c r="I62" s="24" t="b">
        <v>0</v>
      </c>
      <c r="J62" s="25" t="s">
        <v>352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D1000-2F4D-4379-8D46-284B17649213}">
  <dimension ref="A3:AX87"/>
  <sheetViews>
    <sheetView tabSelected="1" topLeftCell="T1" zoomScale="70" zoomScaleNormal="70" workbookViewId="0">
      <selection activeCell="B3" sqref="B3"/>
    </sheetView>
  </sheetViews>
  <sheetFormatPr defaultRowHeight="21"/>
  <cols>
    <col min="1" max="1" width="6.53125" customWidth="1"/>
    <col min="2" max="2" width="45.3984375" customWidth="1"/>
    <col min="3" max="3" width="3.3984375" customWidth="1"/>
    <col min="4" max="5" width="5.46484375" customWidth="1"/>
    <col min="6" max="6" width="5.46484375" style="19" customWidth="1"/>
    <col min="7" max="7" width="6.73046875" style="49" customWidth="1"/>
    <col min="8" max="50" width="5.46484375" customWidth="1"/>
  </cols>
  <sheetData>
    <row r="3" spans="1:50" ht="111.75" customHeight="1">
      <c r="F3"/>
      <c r="G3"/>
    </row>
    <row r="4" spans="1:50" s="50" customFormat="1" ht="81.75" customHeight="1">
      <c r="A4" s="53" t="s">
        <v>17</v>
      </c>
      <c r="B4" s="54" t="s">
        <v>18</v>
      </c>
      <c r="D4" s="51" t="s">
        <v>356</v>
      </c>
      <c r="E4" s="51" t="s">
        <v>357</v>
      </c>
      <c r="F4" s="52" t="s">
        <v>358</v>
      </c>
      <c r="G4" s="52" t="s">
        <v>354</v>
      </c>
      <c r="H4" s="51" t="s">
        <v>359</v>
      </c>
      <c r="I4" s="51" t="s">
        <v>360</v>
      </c>
      <c r="J4" s="51" t="s">
        <v>361</v>
      </c>
      <c r="K4" s="51" t="s">
        <v>362</v>
      </c>
      <c r="L4" s="51" t="s">
        <v>363</v>
      </c>
      <c r="M4" s="51" t="s">
        <v>364</v>
      </c>
      <c r="N4" s="51" t="s">
        <v>365</v>
      </c>
      <c r="O4" s="51" t="s">
        <v>366</v>
      </c>
      <c r="P4" s="51" t="s">
        <v>367</v>
      </c>
      <c r="Q4" s="51" t="s">
        <v>368</v>
      </c>
      <c r="R4" s="51" t="s">
        <v>369</v>
      </c>
      <c r="S4" s="51" t="s">
        <v>370</v>
      </c>
      <c r="T4" s="51" t="s">
        <v>371</v>
      </c>
      <c r="U4" s="51" t="s">
        <v>372</v>
      </c>
      <c r="V4" s="51" t="s">
        <v>373</v>
      </c>
      <c r="W4" s="51" t="s">
        <v>374</v>
      </c>
      <c r="X4" s="51" t="s">
        <v>375</v>
      </c>
      <c r="Y4" s="51" t="s">
        <v>376</v>
      </c>
      <c r="Z4" s="51" t="s">
        <v>377</v>
      </c>
      <c r="AA4" s="51" t="s">
        <v>378</v>
      </c>
      <c r="AB4" s="51" t="s">
        <v>379</v>
      </c>
      <c r="AC4" s="51" t="s">
        <v>380</v>
      </c>
      <c r="AD4" s="51" t="s">
        <v>381</v>
      </c>
      <c r="AE4" s="51" t="s">
        <v>382</v>
      </c>
      <c r="AF4" s="51" t="s">
        <v>383</v>
      </c>
      <c r="AG4" s="51" t="s">
        <v>384</v>
      </c>
      <c r="AH4" s="51" t="s">
        <v>385</v>
      </c>
      <c r="AI4" s="51" t="s">
        <v>386</v>
      </c>
      <c r="AJ4" s="51" t="s">
        <v>387</v>
      </c>
      <c r="AK4" s="51" t="s">
        <v>388</v>
      </c>
      <c r="AL4" s="51" t="s">
        <v>389</v>
      </c>
      <c r="AM4" s="51" t="s">
        <v>390</v>
      </c>
      <c r="AN4" s="51" t="s">
        <v>391</v>
      </c>
      <c r="AO4" s="51" t="s">
        <v>392</v>
      </c>
      <c r="AP4" s="51" t="s">
        <v>393</v>
      </c>
      <c r="AQ4" s="51" t="s">
        <v>394</v>
      </c>
      <c r="AR4" s="51" t="s">
        <v>395</v>
      </c>
      <c r="AS4" s="51" t="s">
        <v>396</v>
      </c>
      <c r="AT4" s="51" t="s">
        <v>397</v>
      </c>
      <c r="AU4" s="51" t="s">
        <v>398</v>
      </c>
      <c r="AV4" s="51" t="s">
        <v>399</v>
      </c>
      <c r="AW4" s="51" t="s">
        <v>400</v>
      </c>
      <c r="AX4" s="51" t="s">
        <v>401</v>
      </c>
    </row>
    <row r="5" spans="1:50" ht="24.6">
      <c r="A5">
        <v>1</v>
      </c>
      <c r="B5" t="str">
        <f>ข้อสอบ!B3</f>
        <v>ใน Visual Studio 2022 เมื่อต้องการสร้างโปรเจกต์ใหม่สำหรับแอปพลิเคชัน Windows Forms โดยใช้ภาษา C# ควรเลือก แม่แบบ (เทมเพลต) ใด?</v>
      </c>
      <c r="C5" t="s">
        <v>402</v>
      </c>
      <c r="D5">
        <v>1</v>
      </c>
      <c r="E5">
        <v>1</v>
      </c>
      <c r="F5" s="56">
        <v>1</v>
      </c>
      <c r="G5" s="49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0</v>
      </c>
      <c r="AT5">
        <v>1</v>
      </c>
      <c r="AU5">
        <v>1</v>
      </c>
      <c r="AV5">
        <v>1</v>
      </c>
      <c r="AW5">
        <v>1</v>
      </c>
      <c r="AX5">
        <v>1</v>
      </c>
    </row>
    <row r="6" spans="1:50" ht="24.6">
      <c r="A6">
        <f>A5+1</f>
        <v>2</v>
      </c>
      <c r="B6" t="str">
        <f>ข้อสอบ!B4</f>
        <v>ใน Visual Studio 2022 การกดปุ่ม F5 ขณะพัฒนาแอปพลิเคชัน Windows Forms มีผลอย่างไร?</v>
      </c>
      <c r="C6" t="s">
        <v>402</v>
      </c>
      <c r="D6">
        <v>1</v>
      </c>
      <c r="E6">
        <v>1</v>
      </c>
      <c r="F6" s="56">
        <v>1</v>
      </c>
      <c r="G6" s="49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0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0</v>
      </c>
      <c r="AL6">
        <v>1</v>
      </c>
      <c r="AM6">
        <v>0</v>
      </c>
      <c r="AN6">
        <v>1</v>
      </c>
      <c r="AO6">
        <v>1</v>
      </c>
      <c r="AP6">
        <v>1</v>
      </c>
      <c r="AQ6">
        <v>1</v>
      </c>
      <c r="AR6">
        <v>1</v>
      </c>
      <c r="AS6">
        <v>0</v>
      </c>
      <c r="AT6">
        <v>1</v>
      </c>
      <c r="AU6">
        <v>1</v>
      </c>
      <c r="AV6">
        <v>1</v>
      </c>
      <c r="AW6">
        <v>1</v>
      </c>
      <c r="AX6">
        <v>1</v>
      </c>
    </row>
    <row r="7" spans="1:50" ht="24.6">
      <c r="A7">
        <f t="shared" ref="A7:A64" si="0">A6+1</f>
        <v>3</v>
      </c>
      <c r="B7" t="str">
        <f>ข้อสอบ!B5</f>
        <v>ถ้าต้องการเพิ่ม Button Control ลงในฟอร์มใน Visual Studio 2022 ควรทำอย่างไร?</v>
      </c>
      <c r="C7" t="s">
        <v>402</v>
      </c>
      <c r="D7">
        <v>1</v>
      </c>
      <c r="E7">
        <v>1</v>
      </c>
      <c r="F7" s="56">
        <v>1</v>
      </c>
      <c r="G7" s="49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0</v>
      </c>
      <c r="U7">
        <v>1</v>
      </c>
      <c r="V7">
        <v>1</v>
      </c>
      <c r="W7">
        <v>1</v>
      </c>
      <c r="X7">
        <v>1</v>
      </c>
      <c r="Y7">
        <v>1</v>
      </c>
      <c r="Z7">
        <v>0</v>
      </c>
      <c r="AA7">
        <v>1</v>
      </c>
      <c r="AB7">
        <v>1</v>
      </c>
      <c r="AC7">
        <v>0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0</v>
      </c>
      <c r="AT7">
        <v>0</v>
      </c>
      <c r="AU7">
        <v>1</v>
      </c>
      <c r="AV7">
        <v>1</v>
      </c>
      <c r="AW7">
        <v>1</v>
      </c>
      <c r="AX7">
        <v>1</v>
      </c>
    </row>
    <row r="8" spans="1:50" ht="24.6">
      <c r="A8">
        <f t="shared" si="0"/>
        <v>4</v>
      </c>
      <c r="B8" t="str">
        <f>ข้อสอบ!B6</f>
        <v>หลังจากเพิ่ม TextBox ชื่อ txtName และ Button ชื่อ btnSubmit ในฟอร์ม นักพัฒนาต้องการให้เมื่อคลิกปุ่ม btnSubmit โปรแกรมแสดงข้อความ "Hello, [ชื่อที่ป้อน]" ใน MessageBox ควรเขียนโค้ดอย่างไร?</v>
      </c>
      <c r="C8" t="s">
        <v>402</v>
      </c>
      <c r="D8">
        <v>1</v>
      </c>
      <c r="E8">
        <v>1</v>
      </c>
      <c r="F8" s="56">
        <v>1</v>
      </c>
      <c r="G8" s="49">
        <v>1</v>
      </c>
      <c r="H8">
        <v>1</v>
      </c>
      <c r="I8">
        <v>0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</v>
      </c>
      <c r="V8">
        <v>0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0</v>
      </c>
      <c r="AD8">
        <v>0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L8">
        <v>0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0</v>
      </c>
      <c r="AT8">
        <v>1</v>
      </c>
      <c r="AU8">
        <v>1</v>
      </c>
      <c r="AV8">
        <v>1</v>
      </c>
      <c r="AW8">
        <v>1</v>
      </c>
      <c r="AX8">
        <v>1</v>
      </c>
    </row>
    <row r="9" spans="1:50" ht="24.6">
      <c r="A9">
        <f t="shared" si="0"/>
        <v>5</v>
      </c>
      <c r="B9" t="str">
        <f>ข้อสอบ!B7</f>
        <v>นักพัฒนาต้องการตรวจสอบว่าค่าในตัวแปร count ถูกอัปเดตอย่างถูกต้องขณะรันโปรแกรมในโหมด Debug วิธีใดเหมาะสมที่สุด?</v>
      </c>
      <c r="C9" t="s">
        <v>402</v>
      </c>
      <c r="D9">
        <v>1</v>
      </c>
      <c r="E9">
        <v>1</v>
      </c>
      <c r="F9" s="56">
        <v>1</v>
      </c>
      <c r="G9" s="49">
        <v>0</v>
      </c>
      <c r="H9">
        <v>0</v>
      </c>
      <c r="I9">
        <v>0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1</v>
      </c>
      <c r="Y9">
        <v>0</v>
      </c>
      <c r="Z9">
        <v>0</v>
      </c>
      <c r="AA9">
        <v>1</v>
      </c>
      <c r="AB9">
        <v>1</v>
      </c>
      <c r="AC9">
        <v>0</v>
      </c>
      <c r="AD9">
        <v>1</v>
      </c>
      <c r="AE9">
        <v>0</v>
      </c>
      <c r="AF9">
        <v>1</v>
      </c>
      <c r="AG9">
        <v>0</v>
      </c>
      <c r="AH9">
        <v>0</v>
      </c>
      <c r="AI9">
        <v>1</v>
      </c>
      <c r="AJ9">
        <v>0</v>
      </c>
      <c r="AL9">
        <v>1</v>
      </c>
      <c r="AM9">
        <v>0</v>
      </c>
      <c r="AN9">
        <v>1</v>
      </c>
      <c r="AO9">
        <v>0</v>
      </c>
      <c r="AP9">
        <v>1</v>
      </c>
      <c r="AQ9">
        <v>1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1</v>
      </c>
    </row>
    <row r="10" spans="1:50" ht="24.6">
      <c r="A10">
        <f t="shared" si="0"/>
        <v>6</v>
      </c>
      <c r="B10" t="str">
        <f>ข้อสอบ!B8</f>
        <v>ในภาษา C# คีย์เวิร์ดใดใช้สำหรับประกาศตัวแปรที่เก็บค่าจำนวนเต็มแบบมีเครื่องหมายขนาด 32 บิต?</v>
      </c>
      <c r="C10" t="s">
        <v>402</v>
      </c>
      <c r="D10">
        <v>1</v>
      </c>
      <c r="E10">
        <v>1</v>
      </c>
      <c r="F10" s="56">
        <v>1</v>
      </c>
      <c r="G10" s="49">
        <v>1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0</v>
      </c>
      <c r="T10">
        <v>1</v>
      </c>
      <c r="U10">
        <v>1</v>
      </c>
      <c r="V10">
        <v>1</v>
      </c>
      <c r="W10">
        <v>1</v>
      </c>
      <c r="X10">
        <v>1</v>
      </c>
      <c r="Y10">
        <v>0</v>
      </c>
      <c r="Z10">
        <v>0</v>
      </c>
      <c r="AA10">
        <v>1</v>
      </c>
      <c r="AB10">
        <v>1</v>
      </c>
      <c r="AC10">
        <v>1</v>
      </c>
      <c r="AD10">
        <v>1</v>
      </c>
      <c r="AE10">
        <v>0</v>
      </c>
      <c r="AF10">
        <v>1</v>
      </c>
      <c r="AG10">
        <v>1</v>
      </c>
      <c r="AH10">
        <v>1</v>
      </c>
      <c r="AI10">
        <v>1</v>
      </c>
      <c r="AJ10">
        <v>1</v>
      </c>
      <c r="AL10">
        <v>1</v>
      </c>
      <c r="AM10">
        <v>1</v>
      </c>
      <c r="AN10">
        <v>1</v>
      </c>
      <c r="AO10">
        <v>0</v>
      </c>
      <c r="AP10">
        <v>1</v>
      </c>
      <c r="AQ10">
        <v>1</v>
      </c>
      <c r="AR10">
        <v>1</v>
      </c>
      <c r="AS10">
        <v>1</v>
      </c>
      <c r="AT10">
        <v>0</v>
      </c>
      <c r="AU10">
        <v>1</v>
      </c>
      <c r="AV10">
        <v>1</v>
      </c>
      <c r="AW10">
        <v>0</v>
      </c>
      <c r="AX10">
        <v>0</v>
      </c>
    </row>
    <row r="11" spans="1:50" ht="24.6">
      <c r="A11">
        <f t="shared" si="0"/>
        <v>7</v>
      </c>
      <c r="B11" t="str">
        <f>ข้อสอบ!B9</f>
        <v>ข้อใดคือการประกาศตัวแปรและกำหนดค่าเริ่มต้นที่ถูกต้องในภาษา C#?</v>
      </c>
      <c r="C11" t="s">
        <v>402</v>
      </c>
      <c r="D11">
        <v>0</v>
      </c>
      <c r="E11">
        <v>1</v>
      </c>
      <c r="F11" s="56">
        <v>1</v>
      </c>
      <c r="G11" s="49">
        <v>0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0</v>
      </c>
      <c r="S11">
        <v>0</v>
      </c>
      <c r="T11">
        <v>1</v>
      </c>
      <c r="U11">
        <v>0</v>
      </c>
      <c r="V11">
        <v>0</v>
      </c>
      <c r="W11">
        <v>1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1</v>
      </c>
      <c r="AJ11">
        <v>0</v>
      </c>
      <c r="AL11">
        <v>1</v>
      </c>
      <c r="AM11">
        <v>0</v>
      </c>
      <c r="AN11">
        <v>0</v>
      </c>
      <c r="AO11">
        <v>1</v>
      </c>
      <c r="AP11">
        <v>1</v>
      </c>
      <c r="AQ11">
        <v>1</v>
      </c>
      <c r="AR11">
        <v>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ht="24.6">
      <c r="A12">
        <f t="shared" si="0"/>
        <v>8</v>
      </c>
      <c r="B12" t="str">
        <f>ข้อสอบ!B10</f>
        <v>จากโค้ดต่อไปนี้ ผลลัพธ์ที่ได้คืออะไร?
  string message = "Hello";
  message += " World";
  Console.WriteLine(message.Length);</v>
      </c>
      <c r="C12" t="s">
        <v>402</v>
      </c>
      <c r="D12">
        <v>1</v>
      </c>
      <c r="E12">
        <v>1</v>
      </c>
      <c r="F12" s="56">
        <v>1</v>
      </c>
      <c r="G12" s="49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0</v>
      </c>
      <c r="S12">
        <v>0</v>
      </c>
      <c r="T12">
        <v>1</v>
      </c>
      <c r="U12">
        <v>0</v>
      </c>
      <c r="V12">
        <v>0</v>
      </c>
      <c r="W12">
        <v>1</v>
      </c>
      <c r="X12">
        <v>1</v>
      </c>
      <c r="Y12">
        <v>0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0</v>
      </c>
      <c r="AI12">
        <v>1</v>
      </c>
      <c r="AJ12">
        <v>0</v>
      </c>
      <c r="AL12">
        <v>1</v>
      </c>
      <c r="AM12">
        <v>0</v>
      </c>
      <c r="AN12">
        <v>1</v>
      </c>
      <c r="AO12">
        <v>1</v>
      </c>
      <c r="AP12">
        <v>1</v>
      </c>
      <c r="AQ12">
        <v>1</v>
      </c>
      <c r="AR12">
        <v>0</v>
      </c>
      <c r="AS12">
        <v>0</v>
      </c>
      <c r="AT12">
        <v>0</v>
      </c>
      <c r="AU12">
        <v>1</v>
      </c>
      <c r="AV12">
        <v>0</v>
      </c>
      <c r="AW12">
        <v>0</v>
      </c>
      <c r="AX12">
        <v>0</v>
      </c>
    </row>
    <row r="13" spans="1:50" ht="24.6">
      <c r="A13">
        <f t="shared" si="0"/>
        <v>9</v>
      </c>
      <c r="B13" t="str">
        <f>ข้อสอบ!B11</f>
        <v>ข้อใดคือวิธีที่ดีที่สุดในการตรวจสอบว่าสตริง input เป็นค่าว่างหรือไม่?</v>
      </c>
      <c r="C13" t="s">
        <v>402</v>
      </c>
      <c r="D13">
        <v>0</v>
      </c>
      <c r="E13">
        <v>1</v>
      </c>
      <c r="F13" s="56">
        <v>1</v>
      </c>
      <c r="G13" s="49">
        <v>0</v>
      </c>
      <c r="H13">
        <v>1</v>
      </c>
      <c r="I13">
        <v>0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0</v>
      </c>
      <c r="Z13">
        <v>1</v>
      </c>
      <c r="AA13">
        <v>1</v>
      </c>
      <c r="AB13">
        <v>1</v>
      </c>
      <c r="AC13">
        <v>1</v>
      </c>
      <c r="AD13">
        <v>0</v>
      </c>
      <c r="AE13">
        <v>0</v>
      </c>
      <c r="AF13">
        <v>1</v>
      </c>
      <c r="AG13">
        <v>0</v>
      </c>
      <c r="AH13">
        <v>1</v>
      </c>
      <c r="AI13">
        <v>1</v>
      </c>
      <c r="AJ13">
        <v>0</v>
      </c>
      <c r="AL13">
        <v>1</v>
      </c>
      <c r="AM13">
        <v>0</v>
      </c>
      <c r="AN13">
        <v>1</v>
      </c>
      <c r="AO13">
        <v>0</v>
      </c>
      <c r="AP13">
        <v>1</v>
      </c>
      <c r="AQ13">
        <v>1</v>
      </c>
      <c r="AR13">
        <v>0</v>
      </c>
      <c r="AS13">
        <v>0</v>
      </c>
      <c r="AT13">
        <v>0</v>
      </c>
      <c r="AU13">
        <v>1</v>
      </c>
      <c r="AV13">
        <v>1</v>
      </c>
      <c r="AW13">
        <v>0</v>
      </c>
      <c r="AX13">
        <v>1</v>
      </c>
    </row>
    <row r="14" spans="1:50" ht="24.6">
      <c r="A14">
        <f t="shared" si="0"/>
        <v>10</v>
      </c>
      <c r="B14" t="str">
        <f>ข้อสอบ!B12</f>
        <v>จากโค้ดต่อไปนี้ ข้อใดคือผลลัพธ์และเหตุผลที่ถูกต้อง?
int a = 10;
int b = 3;
double result = a / b;
Console.WriteLine(result);</v>
      </c>
      <c r="C14" t="s">
        <v>402</v>
      </c>
      <c r="D14">
        <v>1</v>
      </c>
      <c r="E14">
        <v>1</v>
      </c>
      <c r="F14" s="56">
        <v>1</v>
      </c>
      <c r="G14" s="49">
        <v>0</v>
      </c>
      <c r="H14">
        <v>0</v>
      </c>
      <c r="I14">
        <v>0</v>
      </c>
      <c r="J14">
        <v>1</v>
      </c>
      <c r="K14">
        <v>0</v>
      </c>
      <c r="L14">
        <v>1</v>
      </c>
      <c r="M14">
        <v>1</v>
      </c>
      <c r="N14">
        <v>1</v>
      </c>
      <c r="O14">
        <v>1</v>
      </c>
      <c r="P14">
        <v>1</v>
      </c>
      <c r="Q14">
        <v>0</v>
      </c>
      <c r="R14">
        <v>1</v>
      </c>
      <c r="S14">
        <v>0</v>
      </c>
      <c r="T14">
        <v>1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1</v>
      </c>
      <c r="AB14">
        <v>1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1</v>
      </c>
      <c r="AJ14">
        <v>0</v>
      </c>
      <c r="AL14">
        <v>1</v>
      </c>
      <c r="AM14">
        <v>1</v>
      </c>
      <c r="AN14">
        <v>0</v>
      </c>
      <c r="AO14">
        <v>1</v>
      </c>
      <c r="AP14">
        <v>1</v>
      </c>
      <c r="AQ14">
        <v>1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 ht="24.6">
      <c r="A15">
        <f t="shared" si="0"/>
        <v>11</v>
      </c>
      <c r="B15" t="str">
        <f>ข้อสอบ!B13</f>
        <v>ขั้นตอนใดใน SDLC ที่เกี่ยวข้องกับการวิเคราะห์ความต้องการของผู้ใช้และกำหนดขอบเขตของระบบ?</v>
      </c>
      <c r="C15" t="s">
        <v>402</v>
      </c>
      <c r="D15">
        <v>0</v>
      </c>
      <c r="E15">
        <v>1</v>
      </c>
      <c r="F15" s="56">
        <v>1</v>
      </c>
      <c r="G15" s="49">
        <v>1</v>
      </c>
      <c r="H15">
        <v>1</v>
      </c>
      <c r="I15">
        <v>0</v>
      </c>
      <c r="J15">
        <v>1</v>
      </c>
      <c r="K15">
        <v>1</v>
      </c>
      <c r="L15">
        <v>1</v>
      </c>
      <c r="M15">
        <v>0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0</v>
      </c>
      <c r="U15">
        <v>1</v>
      </c>
      <c r="V15">
        <v>1</v>
      </c>
      <c r="W15">
        <v>1</v>
      </c>
      <c r="X15">
        <v>1</v>
      </c>
      <c r="Y15">
        <v>1</v>
      </c>
      <c r="Z15">
        <v>0</v>
      </c>
      <c r="AA15">
        <v>1</v>
      </c>
      <c r="AB15">
        <v>0</v>
      </c>
      <c r="AC15">
        <v>0</v>
      </c>
      <c r="AD15">
        <v>1</v>
      </c>
      <c r="AE15">
        <v>1</v>
      </c>
      <c r="AF15">
        <v>1</v>
      </c>
      <c r="AG15">
        <v>0</v>
      </c>
      <c r="AH15">
        <v>1</v>
      </c>
      <c r="AI15">
        <v>1</v>
      </c>
      <c r="AJ15">
        <v>0</v>
      </c>
      <c r="AL15">
        <v>1</v>
      </c>
      <c r="AM15">
        <v>0</v>
      </c>
      <c r="AN15">
        <v>1</v>
      </c>
      <c r="AO15">
        <v>1</v>
      </c>
      <c r="AP15">
        <v>1</v>
      </c>
      <c r="AQ15">
        <v>1</v>
      </c>
      <c r="AR15">
        <v>0</v>
      </c>
      <c r="AS15">
        <v>1</v>
      </c>
      <c r="AT15">
        <v>1</v>
      </c>
      <c r="AU15">
        <v>1</v>
      </c>
      <c r="AV15">
        <v>1</v>
      </c>
      <c r="AW15">
        <v>0</v>
      </c>
      <c r="AX15">
        <v>0</v>
      </c>
    </row>
    <row r="16" spans="1:50" ht="24.6">
      <c r="A16">
        <f t="shared" si="0"/>
        <v>12</v>
      </c>
      <c r="B16" t="str">
        <f>ข้อสอบ!B14</f>
        <v xml:space="preserve"> หากองค์กรอยู่ใน CMMI Level 3 (Defined) ข้อใดสะท้อนลักษณะการทำงานได้ถูกต้องที่สุด?</v>
      </c>
      <c r="C16" t="s">
        <v>402</v>
      </c>
      <c r="D16">
        <v>1</v>
      </c>
      <c r="E16">
        <v>1</v>
      </c>
      <c r="F16" s="56">
        <v>1</v>
      </c>
      <c r="G16" s="49">
        <v>1</v>
      </c>
      <c r="H16">
        <v>0</v>
      </c>
      <c r="I16">
        <v>1</v>
      </c>
      <c r="J16">
        <v>1</v>
      </c>
      <c r="K16">
        <v>1</v>
      </c>
      <c r="L16">
        <v>0</v>
      </c>
      <c r="M16">
        <v>0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0</v>
      </c>
      <c r="U16">
        <v>0</v>
      </c>
      <c r="V16">
        <v>1</v>
      </c>
      <c r="W16">
        <v>1</v>
      </c>
      <c r="X16">
        <v>1</v>
      </c>
      <c r="Y16">
        <v>0</v>
      </c>
      <c r="Z16">
        <v>1</v>
      </c>
      <c r="AA16">
        <v>0</v>
      </c>
      <c r="AB16">
        <v>1</v>
      </c>
      <c r="AC16">
        <v>0</v>
      </c>
      <c r="AD16">
        <v>1</v>
      </c>
      <c r="AE16">
        <v>1</v>
      </c>
      <c r="AF16">
        <v>1</v>
      </c>
      <c r="AG16">
        <v>0</v>
      </c>
      <c r="AH16">
        <v>0</v>
      </c>
      <c r="AI16">
        <v>1</v>
      </c>
      <c r="AJ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0</v>
      </c>
      <c r="AR16">
        <v>1</v>
      </c>
      <c r="AS16">
        <v>1</v>
      </c>
      <c r="AT16">
        <v>1</v>
      </c>
      <c r="AU16">
        <v>1</v>
      </c>
      <c r="AV16">
        <v>0</v>
      </c>
      <c r="AW16">
        <v>1</v>
      </c>
      <c r="AX16">
        <v>0</v>
      </c>
    </row>
    <row r="17" spans="1:50" ht="24.6">
      <c r="A17">
        <f t="shared" si="0"/>
        <v>13</v>
      </c>
      <c r="B17" t="str">
        <f>ข้อสอบ!B15</f>
        <v>จากโค้ดต่อไปนี้ วิธีใดคือการจัดการหน่วยความจำที่มีประสิทธิภาพที่สุด หากต้องการสตริงที่สามารถแก้ไขได้หลายครั้ง?
  string data = "Initial";
  // แก้ไขสตริงหลายครั้ง (เช่น ต่อข้อความหรือลบบางส่วน)</v>
      </c>
      <c r="C17" t="s">
        <v>402</v>
      </c>
      <c r="D17">
        <v>1</v>
      </c>
      <c r="E17">
        <v>1</v>
      </c>
      <c r="F17" s="56">
        <v>1</v>
      </c>
      <c r="G17" s="49">
        <v>0</v>
      </c>
      <c r="H17">
        <v>0</v>
      </c>
      <c r="I17">
        <v>0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1</v>
      </c>
      <c r="X17">
        <v>1</v>
      </c>
      <c r="Y17">
        <v>0</v>
      </c>
      <c r="Z17">
        <v>0</v>
      </c>
      <c r="AA17">
        <v>1</v>
      </c>
      <c r="AB17">
        <v>1</v>
      </c>
      <c r="AC17">
        <v>0</v>
      </c>
      <c r="AD17">
        <v>1</v>
      </c>
      <c r="AE17">
        <v>0</v>
      </c>
      <c r="AF17">
        <v>1</v>
      </c>
      <c r="AG17">
        <v>0</v>
      </c>
      <c r="AH17">
        <v>0</v>
      </c>
      <c r="AI17">
        <v>1</v>
      </c>
      <c r="AJ17">
        <v>0</v>
      </c>
      <c r="AL17">
        <v>1</v>
      </c>
      <c r="AM17">
        <v>0</v>
      </c>
      <c r="AN17">
        <v>1</v>
      </c>
      <c r="AO17">
        <v>0</v>
      </c>
      <c r="AP17">
        <v>1</v>
      </c>
      <c r="AQ17">
        <v>1</v>
      </c>
      <c r="AR17">
        <v>0</v>
      </c>
      <c r="AS17">
        <v>0</v>
      </c>
      <c r="AT17">
        <v>1</v>
      </c>
      <c r="AU17">
        <v>0</v>
      </c>
      <c r="AV17">
        <v>0</v>
      </c>
      <c r="AW17">
        <v>0</v>
      </c>
      <c r="AX17">
        <v>1</v>
      </c>
    </row>
    <row r="18" spans="1:50" ht="24.6">
      <c r="A18">
        <f t="shared" si="0"/>
        <v>14</v>
      </c>
      <c r="B18" t="str">
        <f>ข้อสอบ!B16</f>
        <v>สัญลักษณ์ใดใน Activity Diagram ที่ใช้แทนการตัดสินใจ (Decision) และมีเส้นทางออกได้หลายทาง?</v>
      </c>
      <c r="C18" t="s">
        <v>402</v>
      </c>
      <c r="D18">
        <v>1</v>
      </c>
      <c r="E18">
        <v>1</v>
      </c>
      <c r="F18" s="56">
        <v>1</v>
      </c>
      <c r="G18" s="49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0</v>
      </c>
      <c r="AT18">
        <v>1</v>
      </c>
      <c r="AU18">
        <v>0</v>
      </c>
      <c r="AV18">
        <v>1</v>
      </c>
      <c r="AW18">
        <v>1</v>
      </c>
      <c r="AX18">
        <v>0</v>
      </c>
    </row>
    <row r="19" spans="1:50" ht="24.6">
      <c r="A19">
        <f t="shared" si="0"/>
        <v>15</v>
      </c>
      <c r="B19" t="str">
        <f>ข้อสอบ!B17</f>
        <v>จากกระบวนการลงทะเบียนผู้ใช้ต่อไปนี้ ข้อใดสะท้อนการออกแบบ Activity Diagram ที่เหมาะสมที่สุด?
1.เริ่มต้น
2.กรอกแบบฟอร์ม
3.ตรวจสอบความถูกต้องของข้อมูล
   - หากข้อมูลถูกต้อง: บันทึกข้อมูล
   - หากข้อมูลไม่ถูกต้อง: แจ้งข้อผิดพลาดและกลับไปกรอกใหม่
4.ส่งอีเมลยืนยัน
5.จบกระบวนการ</v>
      </c>
      <c r="C19" t="s">
        <v>402</v>
      </c>
      <c r="D19">
        <v>1</v>
      </c>
      <c r="E19">
        <v>0</v>
      </c>
      <c r="F19" s="56">
        <v>0</v>
      </c>
      <c r="G19" s="49">
        <v>0</v>
      </c>
      <c r="H19">
        <v>0</v>
      </c>
      <c r="I19">
        <v>1</v>
      </c>
      <c r="J19">
        <v>0</v>
      </c>
      <c r="K19">
        <v>1</v>
      </c>
      <c r="L19">
        <v>1</v>
      </c>
      <c r="M19">
        <v>1</v>
      </c>
      <c r="N19">
        <v>1</v>
      </c>
      <c r="O19">
        <v>0</v>
      </c>
      <c r="P19">
        <v>1</v>
      </c>
      <c r="Q19">
        <v>1</v>
      </c>
      <c r="R19">
        <v>1</v>
      </c>
      <c r="S19">
        <v>1</v>
      </c>
      <c r="T19">
        <v>1</v>
      </c>
      <c r="U19">
        <v>0</v>
      </c>
      <c r="V19">
        <v>0</v>
      </c>
      <c r="W19">
        <v>1</v>
      </c>
      <c r="X19">
        <v>0</v>
      </c>
      <c r="Y19">
        <v>1</v>
      </c>
      <c r="Z19">
        <v>1</v>
      </c>
      <c r="AA19">
        <v>1</v>
      </c>
      <c r="AB19">
        <v>1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1</v>
      </c>
      <c r="AI19">
        <v>0</v>
      </c>
      <c r="AJ19">
        <v>0</v>
      </c>
      <c r="AL19">
        <v>1</v>
      </c>
      <c r="AM19">
        <v>0</v>
      </c>
      <c r="AN19">
        <v>0</v>
      </c>
      <c r="AO19">
        <v>1</v>
      </c>
      <c r="AP19">
        <v>1</v>
      </c>
      <c r="AQ19">
        <v>0</v>
      </c>
      <c r="AR19">
        <v>1</v>
      </c>
      <c r="AS19">
        <v>1</v>
      </c>
      <c r="AT19">
        <v>1</v>
      </c>
      <c r="AU19">
        <v>0</v>
      </c>
      <c r="AV19">
        <v>1</v>
      </c>
      <c r="AW19">
        <v>0</v>
      </c>
      <c r="AX19">
        <v>1</v>
      </c>
    </row>
    <row r="20" spans="1:50" ht="24.6">
      <c r="A20">
        <f t="shared" si="0"/>
        <v>16</v>
      </c>
      <c r="B20" t="str">
        <f>ข้อสอบ!B18</f>
        <v>จากระบบ ATM ต่อไปนี้ ข้อใดเป็นการออกแบบ Use Case Diagram ที่เหมาะสมที่สุด?
ความต้องการ:
1.ผู้ใช้ (Actor: Customer) สามารถทำธุรกรรมถอนเงินและตรวจสอบยอดเงิน
2.การถอนเงินต้องมีการตรวจสอบ PIN ก่อนเสมอ
3.เจ้าหน้าที่ธนาคาร (Actor: Bank Staff) สามารถเติมเงินในเครื่องได้</v>
      </c>
      <c r="C20" t="s">
        <v>402</v>
      </c>
      <c r="D20">
        <v>0</v>
      </c>
      <c r="E20">
        <v>1</v>
      </c>
      <c r="F20" s="56">
        <v>1</v>
      </c>
      <c r="G20" s="49">
        <v>1</v>
      </c>
      <c r="H20">
        <v>1</v>
      </c>
      <c r="I20">
        <v>0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0</v>
      </c>
      <c r="AB20">
        <v>0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0</v>
      </c>
      <c r="AR20">
        <v>1</v>
      </c>
      <c r="AS20">
        <v>1</v>
      </c>
      <c r="AT20">
        <v>1</v>
      </c>
      <c r="AU20">
        <v>0</v>
      </c>
      <c r="AV20">
        <v>1</v>
      </c>
      <c r="AW20">
        <v>0</v>
      </c>
      <c r="AX20">
        <v>1</v>
      </c>
    </row>
    <row r="21" spans="1:50" ht="24.6">
      <c r="A21">
        <f t="shared" si="0"/>
        <v>17</v>
      </c>
      <c r="B21" t="str">
        <f>ข้อสอบ!B19</f>
        <v>จากผลการสำรวจผู้ใช้ระบบจองห้องพัก พบว่า 70% ของผู้ใช้ไม่พอใจขั้นตอนการชำระเงินที่ซับซ้อน ข้อใดคือแนวทางการแก้ไขปัญหาที่เหมาะสมที่สุด?</v>
      </c>
      <c r="C21" t="s">
        <v>402</v>
      </c>
      <c r="D21">
        <v>1</v>
      </c>
      <c r="E21">
        <v>1</v>
      </c>
      <c r="F21" s="56">
        <v>0</v>
      </c>
      <c r="G21" s="49">
        <v>0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0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0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0</v>
      </c>
      <c r="AU21">
        <v>0</v>
      </c>
      <c r="AV21">
        <v>0</v>
      </c>
      <c r="AW21">
        <v>1</v>
      </c>
      <c r="AX21">
        <v>0</v>
      </c>
    </row>
    <row r="22" spans="1:50" ht="24.6">
      <c r="A22">
        <f t="shared" si="0"/>
        <v>18</v>
      </c>
      <c r="B22" t="str">
        <f>ข้อสอบ!B20</f>
        <v>ตามหลัก Hungarian Notation ในการเขียนโค้ด ตัวแปรชื่อ strUserName ควรมีข้อมูลประเภทใด?</v>
      </c>
      <c r="C22" t="s">
        <v>402</v>
      </c>
      <c r="D22">
        <v>1</v>
      </c>
      <c r="E22">
        <v>1</v>
      </c>
      <c r="F22" s="56">
        <v>1</v>
      </c>
      <c r="G22" s="49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0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L22">
        <v>0</v>
      </c>
      <c r="AM22">
        <v>1</v>
      </c>
      <c r="AN22">
        <v>1</v>
      </c>
      <c r="AO22">
        <v>0</v>
      </c>
      <c r="AP22">
        <v>1</v>
      </c>
      <c r="AQ22">
        <v>1</v>
      </c>
      <c r="AR22">
        <v>1</v>
      </c>
      <c r="AS22">
        <v>0</v>
      </c>
      <c r="AT22">
        <v>1</v>
      </c>
      <c r="AU22">
        <v>0</v>
      </c>
      <c r="AV22">
        <v>1</v>
      </c>
      <c r="AW22">
        <v>1</v>
      </c>
      <c r="AX22">
        <v>1</v>
      </c>
    </row>
    <row r="23" spans="1:50" ht="24.6">
      <c r="A23">
        <f t="shared" si="0"/>
        <v>19</v>
      </c>
      <c r="B23" t="str">
        <f>ข้อสอบ!B21</f>
        <v>จากโค้ด C# ต่อไปนี้ ข้อใดเป็นปัญหาตามหลักมาตรฐานการเขียนโค้ดที่ดีที่สุด?
public void CalculateTotal(int p1, int p2) {
    int x = p1 + p2;
    Console.WriteLine(x);
}</v>
      </c>
      <c r="C23" t="s">
        <v>402</v>
      </c>
      <c r="D23">
        <v>1</v>
      </c>
      <c r="E23">
        <v>1</v>
      </c>
      <c r="F23" s="56">
        <v>1</v>
      </c>
      <c r="G23" s="49">
        <v>0</v>
      </c>
      <c r="H23">
        <v>0</v>
      </c>
      <c r="I23">
        <v>0</v>
      </c>
      <c r="J23">
        <v>1</v>
      </c>
      <c r="K23">
        <v>1</v>
      </c>
      <c r="L23">
        <v>0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</v>
      </c>
      <c r="V23">
        <v>0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0</v>
      </c>
      <c r="AD23">
        <v>0</v>
      </c>
      <c r="AE23">
        <v>0</v>
      </c>
      <c r="AF23">
        <v>1</v>
      </c>
      <c r="AG23">
        <v>1</v>
      </c>
      <c r="AH23">
        <v>1</v>
      </c>
      <c r="AI23">
        <v>1</v>
      </c>
      <c r="AJ23">
        <v>0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0</v>
      </c>
      <c r="AS23">
        <v>1</v>
      </c>
      <c r="AT23">
        <v>1</v>
      </c>
      <c r="AU23">
        <v>0</v>
      </c>
      <c r="AV23">
        <v>1</v>
      </c>
      <c r="AW23">
        <v>0</v>
      </c>
      <c r="AX23">
        <v>0</v>
      </c>
    </row>
    <row r="24" spans="1:50" ht="24.6">
      <c r="A24">
        <f t="shared" si="0"/>
        <v>20</v>
      </c>
      <c r="B24" t="str">
        <f>ข้อสอบ!B22</f>
        <v xml:space="preserve">หลักการสำคัญของ Defensive Coding คืออะไร?
</v>
      </c>
      <c r="C24" t="s">
        <v>402</v>
      </c>
      <c r="D24">
        <v>1</v>
      </c>
      <c r="E24">
        <v>1</v>
      </c>
      <c r="F24" s="56">
        <v>1</v>
      </c>
      <c r="G24" s="49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0</v>
      </c>
      <c r="S24">
        <v>1</v>
      </c>
      <c r="T24">
        <v>1</v>
      </c>
      <c r="U24">
        <v>1</v>
      </c>
      <c r="V24">
        <v>1</v>
      </c>
      <c r="W24">
        <v>0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0</v>
      </c>
      <c r="AL24">
        <v>1</v>
      </c>
      <c r="AM24">
        <v>0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0</v>
      </c>
    </row>
    <row r="25" spans="1:50" ht="24.6">
      <c r="A25">
        <f t="shared" si="0"/>
        <v>21</v>
      </c>
      <c r="B25" t="str">
        <f>ข้อสอบ!B23</f>
        <v>จากโค้ด C# ต่อไปนี้ ข้อใดเป็นวิธีป้องกันที่ดีที่สุดสำหรับการรับ input จากผู้ใช้?
public int GetUserAge() {
    Console.Write("Enter your age: ");
    string input = Console.ReadLine();
    // ส่วนที่ควรเพิ่ม Defensive Coding
    return int.Parse(input);
}</v>
      </c>
      <c r="C25" t="s">
        <v>402</v>
      </c>
      <c r="D25">
        <v>0</v>
      </c>
      <c r="E25">
        <v>1</v>
      </c>
      <c r="F25" s="56">
        <v>1</v>
      </c>
      <c r="G25" s="49">
        <v>1</v>
      </c>
      <c r="H25">
        <v>0</v>
      </c>
      <c r="I25">
        <v>0</v>
      </c>
      <c r="J25">
        <v>1</v>
      </c>
      <c r="K25">
        <v>1</v>
      </c>
      <c r="L25">
        <v>1</v>
      </c>
      <c r="M25">
        <v>0</v>
      </c>
      <c r="N25">
        <v>1</v>
      </c>
      <c r="O25">
        <v>1</v>
      </c>
      <c r="P25">
        <v>1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1</v>
      </c>
      <c r="X25">
        <v>1</v>
      </c>
      <c r="Y25">
        <v>0</v>
      </c>
      <c r="Z25">
        <v>0</v>
      </c>
      <c r="AA25">
        <v>1</v>
      </c>
      <c r="AB25">
        <v>1</v>
      </c>
      <c r="AC25">
        <v>1</v>
      </c>
      <c r="AD25">
        <v>1</v>
      </c>
      <c r="AE25">
        <v>0</v>
      </c>
      <c r="AF25">
        <v>1</v>
      </c>
      <c r="AG25">
        <v>0</v>
      </c>
      <c r="AH25">
        <v>0</v>
      </c>
      <c r="AI25">
        <v>1</v>
      </c>
      <c r="AJ25">
        <v>0</v>
      </c>
      <c r="AL25">
        <v>0</v>
      </c>
      <c r="AM25">
        <v>1</v>
      </c>
      <c r="AN25">
        <v>0</v>
      </c>
      <c r="AO25">
        <v>0</v>
      </c>
      <c r="AP25">
        <v>1</v>
      </c>
      <c r="AQ25">
        <v>1</v>
      </c>
      <c r="AR25">
        <v>1</v>
      </c>
      <c r="AS25">
        <v>0</v>
      </c>
      <c r="AT25">
        <v>1</v>
      </c>
      <c r="AU25">
        <v>0</v>
      </c>
      <c r="AV25">
        <v>0</v>
      </c>
      <c r="AW25">
        <v>0</v>
      </c>
      <c r="AX25">
        <v>0</v>
      </c>
    </row>
    <row r="26" spans="1:50" ht="24.6">
      <c r="A26">
        <f t="shared" si="0"/>
        <v>22</v>
      </c>
      <c r="B26" t="str">
        <f>ข้อสอบ!B24</f>
        <v>Story Board ใน Agile มีวัตถุประสงค์หลักเพื่ออะไร?</v>
      </c>
      <c r="C26" t="s">
        <v>402</v>
      </c>
      <c r="D26">
        <v>1</v>
      </c>
      <c r="E26">
        <v>1</v>
      </c>
      <c r="F26" s="56">
        <v>1</v>
      </c>
      <c r="G26" s="49">
        <v>1</v>
      </c>
      <c r="H26">
        <v>0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0</v>
      </c>
      <c r="S26">
        <v>0</v>
      </c>
      <c r="T26">
        <v>1</v>
      </c>
      <c r="U26">
        <v>0</v>
      </c>
      <c r="V26">
        <v>0</v>
      </c>
      <c r="W26">
        <v>1</v>
      </c>
      <c r="X26">
        <v>1</v>
      </c>
      <c r="Y26">
        <v>0</v>
      </c>
      <c r="Z26">
        <v>1</v>
      </c>
      <c r="AA26">
        <v>1</v>
      </c>
      <c r="AB26">
        <v>1</v>
      </c>
      <c r="AC26">
        <v>0</v>
      </c>
      <c r="AD26">
        <v>1</v>
      </c>
      <c r="AE26">
        <v>0</v>
      </c>
      <c r="AF26">
        <v>1</v>
      </c>
      <c r="AG26">
        <v>0</v>
      </c>
      <c r="AH26">
        <v>0</v>
      </c>
      <c r="AI26">
        <v>1</v>
      </c>
      <c r="AJ26">
        <v>0</v>
      </c>
      <c r="AL26">
        <v>0</v>
      </c>
      <c r="AM26">
        <v>0</v>
      </c>
      <c r="AN26">
        <v>1</v>
      </c>
      <c r="AO26">
        <v>0</v>
      </c>
      <c r="AP26">
        <v>1</v>
      </c>
      <c r="AQ26">
        <v>1</v>
      </c>
      <c r="AR26">
        <v>0</v>
      </c>
      <c r="AS26">
        <v>1</v>
      </c>
      <c r="AT26">
        <v>1</v>
      </c>
      <c r="AU26">
        <v>0</v>
      </c>
      <c r="AV26">
        <v>1</v>
      </c>
      <c r="AW26">
        <v>0</v>
      </c>
      <c r="AX26">
        <v>0</v>
      </c>
    </row>
    <row r="27" spans="1:50" ht="24.6">
      <c r="A27">
        <f t="shared" si="0"/>
        <v>23</v>
      </c>
      <c r="B27" t="str">
        <f>ข้อสอบ!B25</f>
        <v>จาก Burndown Chart ต่อไปนี้ ข้อใดสะท้อนสถานการณ์ของทีมได้ถูกต้องที่สุด?
ข้อมูล:
- แกน X: ระยะเวลาใน Sprint (วัน)
- แกน Y: จำนวนงานคงเหลือ (Story Points)
- เส้นแนวโน้ม: ลดลงอย่างสม่ำเสมอจนเป็น 0 ในวันสุดท้ายของ Sprint
- เส้นจริง: ลดลงช้ากว่าเส้นแนวโน้มในช่วงแรก แต่เร็วขึ้นช่วงปลาย Sprint</v>
      </c>
      <c r="C27" t="s">
        <v>402</v>
      </c>
      <c r="D27">
        <v>0</v>
      </c>
      <c r="E27">
        <v>1</v>
      </c>
      <c r="F27" s="56">
        <v>1</v>
      </c>
      <c r="G27" s="49">
        <v>1</v>
      </c>
      <c r="H27">
        <v>0</v>
      </c>
      <c r="I27">
        <v>1</v>
      </c>
      <c r="J27">
        <v>1</v>
      </c>
      <c r="K27">
        <v>1</v>
      </c>
      <c r="L27">
        <v>1</v>
      </c>
      <c r="M27">
        <v>0</v>
      </c>
      <c r="N27">
        <v>1</v>
      </c>
      <c r="O27">
        <v>1</v>
      </c>
      <c r="P27">
        <v>1</v>
      </c>
      <c r="Q27">
        <v>1</v>
      </c>
      <c r="R27">
        <v>0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0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0</v>
      </c>
      <c r="AL27">
        <v>0</v>
      </c>
      <c r="AM27">
        <v>1</v>
      </c>
      <c r="AN27">
        <v>0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0</v>
      </c>
      <c r="AV27">
        <v>1</v>
      </c>
      <c r="AW27">
        <v>1</v>
      </c>
      <c r="AX27">
        <v>0</v>
      </c>
    </row>
    <row r="28" spans="1:50" ht="24.6">
      <c r="A28">
        <f t="shared" si="0"/>
        <v>24</v>
      </c>
      <c r="B28" t="str">
        <f>ข้อสอบ!B26</f>
        <v>ข้อใดคือคุณสมบัติสำคัญของแบบจำลอง Spiral ที่เหมาะสำหรับโครงการที่มีความเสี่ยงสูง?</v>
      </c>
      <c r="C28" t="s">
        <v>402</v>
      </c>
      <c r="D28">
        <v>1</v>
      </c>
      <c r="E28">
        <v>1</v>
      </c>
      <c r="F28" s="56">
        <v>1</v>
      </c>
      <c r="G28" s="49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0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0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0</v>
      </c>
      <c r="AT28">
        <v>1</v>
      </c>
      <c r="AU28">
        <v>1</v>
      </c>
      <c r="AV28">
        <v>1</v>
      </c>
      <c r="AW28">
        <v>1</v>
      </c>
      <c r="AX28">
        <v>0</v>
      </c>
    </row>
    <row r="29" spans="1:50" ht="24.6">
      <c r="A29">
        <f t="shared" si="0"/>
        <v>25</v>
      </c>
      <c r="B29" t="str">
        <f>ข้อสอบ!B27</f>
        <v>โครงการพัฒนาระบบควบคุมอากาศยานไร้คนขับ (Drone) ที่มีข้อกำหนดด้านความปลอดภัยสูง ควรใช้ Spiral Model อย่างไรเพื่อลดความเสี่ยง?</v>
      </c>
      <c r="C29" t="s">
        <v>402</v>
      </c>
      <c r="D29">
        <v>1</v>
      </c>
      <c r="E29">
        <v>1</v>
      </c>
      <c r="F29" s="56">
        <v>1</v>
      </c>
      <c r="G29" s="4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0</v>
      </c>
      <c r="AW29">
        <v>1</v>
      </c>
      <c r="AX29">
        <v>0</v>
      </c>
    </row>
    <row r="30" spans="1:50" ht="24.6">
      <c r="A30">
        <f t="shared" si="0"/>
        <v>26</v>
      </c>
      <c r="B30" t="str">
        <f>ข้อสอบ!B28</f>
        <v>เอกสาร TOR (Terms of Reference) ของโครงการซอฟต์แวร์ภาครัฐไทยมีวัตถุประสงค์หลักเพื่ออะไร?</v>
      </c>
      <c r="C30" t="s">
        <v>402</v>
      </c>
      <c r="D30">
        <v>1</v>
      </c>
      <c r="E30">
        <v>1</v>
      </c>
      <c r="F30" s="56">
        <v>1</v>
      </c>
      <c r="G30" s="49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0</v>
      </c>
      <c r="S30">
        <v>0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0</v>
      </c>
    </row>
    <row r="31" spans="1:50" ht="24.6">
      <c r="A31">
        <f t="shared" si="0"/>
        <v>27</v>
      </c>
      <c r="B31" t="str">
        <f>ข้อสอบ!B29</f>
        <v>จาก TOR โครงการระบบจัดเก็บภาษีออนไลน์ของกรมสรรพากร ระบุว่าต้อง "รองรับผู้ใช้พร้อมกัน 10,000 คน" และ "ผ่านมาตรฐานความปลอดภัย PCI-DSS" ข้อใดคือแนวทางปฏิบัติที่ดีที่สุดสำหรับทีมพัฒนา?</v>
      </c>
      <c r="C31" t="s">
        <v>402</v>
      </c>
      <c r="D31">
        <v>0</v>
      </c>
      <c r="E31">
        <v>1</v>
      </c>
      <c r="F31" s="56">
        <v>1</v>
      </c>
      <c r="G31" s="49">
        <v>1</v>
      </c>
      <c r="H31">
        <v>1</v>
      </c>
      <c r="I31">
        <v>1</v>
      </c>
      <c r="J31">
        <v>0</v>
      </c>
      <c r="K31">
        <v>1</v>
      </c>
      <c r="L31">
        <v>1</v>
      </c>
      <c r="M31">
        <v>0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0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0</v>
      </c>
      <c r="AV31">
        <v>0</v>
      </c>
      <c r="AW31">
        <v>1</v>
      </c>
      <c r="AX31">
        <v>0</v>
      </c>
    </row>
    <row r="32" spans="1:50" ht="24.6">
      <c r="A32">
        <f t="shared" si="0"/>
        <v>28</v>
      </c>
      <c r="B32" t="str">
        <f>ข้อสอบ!B30</f>
        <v>ข้อใดคือ Functional Requirement (ความต้องการเชิงหน้าที่) ของระบบ Asset Management?</v>
      </c>
      <c r="C32" t="s">
        <v>402</v>
      </c>
      <c r="D32">
        <v>1</v>
      </c>
      <c r="E32">
        <v>1</v>
      </c>
      <c r="F32" s="56">
        <v>1</v>
      </c>
      <c r="G32" s="49">
        <v>1</v>
      </c>
      <c r="H32">
        <v>1</v>
      </c>
      <c r="I32">
        <v>0</v>
      </c>
      <c r="J32">
        <v>0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0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0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1:50" ht="24.6">
      <c r="A33">
        <f t="shared" si="0"/>
        <v>29</v>
      </c>
      <c r="B33" t="str">
        <f>ข้อสอบ!B31</f>
        <v>จากข้อกำหนด "ระบบต้องแสดงผลข้อมูลครุภัณฑ์ 10,000 รายการภายในเวลาไม่เกิน 2 วินาที" ข้อใดคือเทคนิคที่เหมาะสมที่สุดเพื่อให้เป็นไปตามข้อกำหนดนี้?</v>
      </c>
      <c r="C33" t="s">
        <v>402</v>
      </c>
      <c r="D33">
        <v>0</v>
      </c>
      <c r="E33">
        <v>1</v>
      </c>
      <c r="F33" s="56">
        <v>1</v>
      </c>
      <c r="G33" s="49">
        <v>0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0</v>
      </c>
      <c r="R33">
        <v>1</v>
      </c>
      <c r="S33">
        <v>1</v>
      </c>
      <c r="T33">
        <v>1</v>
      </c>
      <c r="U33">
        <v>0</v>
      </c>
      <c r="V33">
        <v>0</v>
      </c>
      <c r="W33">
        <v>1</v>
      </c>
      <c r="X33">
        <v>1</v>
      </c>
      <c r="Y33">
        <v>0</v>
      </c>
      <c r="Z33">
        <v>1</v>
      </c>
      <c r="AA33">
        <v>1</v>
      </c>
      <c r="AB33">
        <v>0</v>
      </c>
      <c r="AC33">
        <v>0</v>
      </c>
      <c r="AD33">
        <v>0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L33">
        <v>1</v>
      </c>
      <c r="AM33">
        <v>1</v>
      </c>
      <c r="AN33">
        <v>1</v>
      </c>
      <c r="AO33">
        <v>0</v>
      </c>
      <c r="AP33">
        <v>1</v>
      </c>
      <c r="AQ33">
        <v>1</v>
      </c>
      <c r="AR33">
        <v>1</v>
      </c>
      <c r="AS33">
        <v>0</v>
      </c>
      <c r="AT33">
        <v>0</v>
      </c>
      <c r="AU33">
        <v>0</v>
      </c>
      <c r="AV33">
        <v>1</v>
      </c>
      <c r="AW33">
        <v>1</v>
      </c>
      <c r="AX33">
        <v>0</v>
      </c>
    </row>
    <row r="34" spans="1:50" ht="24.6">
      <c r="A34">
        <f t="shared" si="0"/>
        <v>30</v>
      </c>
      <c r="B34" t="str">
        <f>ข้อสอบ!B32</f>
        <v xml:space="preserve"> หากมีข้อขัดแย้งระหว่าง Stakeholder เกี่ยวกับ Requirement ของระบบ Asset Management ข้อใดควรได้รับการจัดลำดับความสำคัญสูงสุด?</v>
      </c>
      <c r="C34" t="s">
        <v>402</v>
      </c>
      <c r="D34">
        <v>0</v>
      </c>
      <c r="E34">
        <v>1</v>
      </c>
      <c r="F34" s="56">
        <v>1</v>
      </c>
      <c r="G34" s="49">
        <v>1</v>
      </c>
      <c r="H34">
        <v>1</v>
      </c>
      <c r="I34">
        <v>0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0</v>
      </c>
      <c r="T34">
        <v>0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L34">
        <v>1</v>
      </c>
      <c r="AM34">
        <v>0</v>
      </c>
      <c r="AN34">
        <v>1</v>
      </c>
      <c r="AO34">
        <v>1</v>
      </c>
      <c r="AP34">
        <v>1</v>
      </c>
      <c r="AQ34">
        <v>1</v>
      </c>
      <c r="AR34">
        <v>0</v>
      </c>
      <c r="AS34">
        <v>0</v>
      </c>
      <c r="AT34">
        <v>1</v>
      </c>
      <c r="AU34">
        <v>1</v>
      </c>
      <c r="AV34">
        <v>1</v>
      </c>
      <c r="AW34">
        <v>1</v>
      </c>
      <c r="AX34">
        <v>1</v>
      </c>
    </row>
    <row r="35" spans="1:50" ht="24.6">
      <c r="A35">
        <f t="shared" si="0"/>
        <v>31</v>
      </c>
      <c r="B35" t="str">
        <f>ข้อสอบ!B33</f>
        <v>ใน Use Case Diagram สัญลักษณ์ "เส้นประกับหัวลูกศร" และคำว่า &lt;&lt;include&gt;&gt; หมายถึงอะไร?</v>
      </c>
      <c r="C35" t="s">
        <v>402</v>
      </c>
      <c r="D35">
        <v>0</v>
      </c>
      <c r="E35">
        <v>1</v>
      </c>
      <c r="F35" s="56">
        <v>1</v>
      </c>
      <c r="G35" s="49">
        <v>0</v>
      </c>
      <c r="H35">
        <v>0</v>
      </c>
      <c r="I35">
        <v>0</v>
      </c>
      <c r="J35">
        <v>1</v>
      </c>
      <c r="K35">
        <v>1</v>
      </c>
      <c r="L35">
        <v>1</v>
      </c>
      <c r="M35">
        <v>0</v>
      </c>
      <c r="N35">
        <v>1</v>
      </c>
      <c r="O35">
        <v>1</v>
      </c>
      <c r="P35">
        <v>1</v>
      </c>
      <c r="Q35">
        <v>1</v>
      </c>
      <c r="R35">
        <v>0</v>
      </c>
      <c r="S35">
        <v>0</v>
      </c>
      <c r="T35">
        <v>0</v>
      </c>
      <c r="U35">
        <v>1</v>
      </c>
      <c r="V35">
        <v>1</v>
      </c>
      <c r="W35">
        <v>1</v>
      </c>
      <c r="X35">
        <v>1</v>
      </c>
      <c r="Y35">
        <v>0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0</v>
      </c>
      <c r="AF35">
        <v>1</v>
      </c>
      <c r="AG35">
        <v>0</v>
      </c>
      <c r="AH35">
        <v>0</v>
      </c>
      <c r="AI35">
        <v>1</v>
      </c>
      <c r="AJ35">
        <v>0</v>
      </c>
      <c r="AL35">
        <v>1</v>
      </c>
      <c r="AM35">
        <v>0</v>
      </c>
      <c r="AN35">
        <v>0</v>
      </c>
      <c r="AO35">
        <v>0</v>
      </c>
      <c r="AP35">
        <v>1</v>
      </c>
      <c r="AQ35">
        <v>1</v>
      </c>
      <c r="AR35">
        <v>1</v>
      </c>
      <c r="AS35">
        <v>0</v>
      </c>
      <c r="AT35">
        <v>0</v>
      </c>
      <c r="AU35">
        <v>0</v>
      </c>
      <c r="AV35">
        <v>0</v>
      </c>
      <c r="AW35">
        <v>1</v>
      </c>
      <c r="AX35">
        <v>0</v>
      </c>
    </row>
    <row r="36" spans="1:50" ht="24.6">
      <c r="A36">
        <f t="shared" si="0"/>
        <v>32</v>
      </c>
      <c r="B36" t="str">
        <f>ข้อสอบ!B34</f>
        <v>จากระบบจองห้องสมุดที่มี Actor คือ "สมาชิก" และ "บรรณารักษ์" ข้อใดคือ Use Case ที่สมบูรณ์ที่สุด?</v>
      </c>
      <c r="C36" t="s">
        <v>402</v>
      </c>
      <c r="D36">
        <v>0</v>
      </c>
      <c r="E36">
        <v>1</v>
      </c>
      <c r="F36" s="56">
        <v>1</v>
      </c>
      <c r="G36" s="49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0</v>
      </c>
      <c r="N36">
        <v>1</v>
      </c>
      <c r="O36">
        <v>1</v>
      </c>
      <c r="P36">
        <v>1</v>
      </c>
      <c r="Q36">
        <v>1</v>
      </c>
      <c r="R36">
        <v>0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0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</row>
    <row r="37" spans="1:50" ht="24.6">
      <c r="A37">
        <f t="shared" si="0"/>
        <v>33</v>
      </c>
      <c r="B37" t="str">
        <f>ข้อสอบ!B35</f>
        <v>จาก Use Case Diagram ของระบบ ATM ที่แสดงความสัมพันธ์ &lt;&lt;extend&gt;&gt; จาก "ตรวจสอบยอดเงิน" ไปยัง "ยืนยัน PIN" ข้อใดถูกต้องที่สุด?</v>
      </c>
      <c r="C37" t="s">
        <v>402</v>
      </c>
      <c r="D37">
        <v>0</v>
      </c>
      <c r="E37">
        <v>1</v>
      </c>
      <c r="F37" s="56">
        <v>1</v>
      </c>
      <c r="G37" s="49">
        <v>0</v>
      </c>
      <c r="H37">
        <v>1</v>
      </c>
      <c r="I37">
        <v>0</v>
      </c>
      <c r="J37">
        <v>1</v>
      </c>
      <c r="K37">
        <v>1</v>
      </c>
      <c r="L37">
        <v>0</v>
      </c>
      <c r="M37">
        <v>0</v>
      </c>
      <c r="N37">
        <v>0</v>
      </c>
      <c r="O37">
        <v>0</v>
      </c>
      <c r="P37">
        <v>1</v>
      </c>
      <c r="Q37">
        <v>1</v>
      </c>
      <c r="R37">
        <v>1</v>
      </c>
      <c r="S37">
        <v>1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1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1</v>
      </c>
      <c r="AG37">
        <v>0</v>
      </c>
      <c r="AH37">
        <v>0</v>
      </c>
      <c r="AI37">
        <v>1</v>
      </c>
      <c r="AJ37">
        <v>0</v>
      </c>
      <c r="AL37">
        <v>1</v>
      </c>
      <c r="AM37">
        <v>0</v>
      </c>
      <c r="AN37">
        <v>0</v>
      </c>
      <c r="AO37">
        <v>1</v>
      </c>
      <c r="AP37">
        <v>0</v>
      </c>
      <c r="AQ37">
        <v>0</v>
      </c>
      <c r="AR37">
        <v>1</v>
      </c>
      <c r="AS37">
        <v>0</v>
      </c>
      <c r="AT37">
        <v>1</v>
      </c>
      <c r="AU37">
        <v>0</v>
      </c>
      <c r="AV37">
        <v>1</v>
      </c>
      <c r="AW37">
        <v>0</v>
      </c>
      <c r="AX37">
        <v>0</v>
      </c>
    </row>
    <row r="38" spans="1:50" ht="24.6">
      <c r="A38">
        <f t="shared" si="0"/>
        <v>34</v>
      </c>
      <c r="B38" t="str">
        <f>ข้อสอบ!B36</f>
        <v xml:space="preserve"> ขั้นตอนใดในวงจร PDCA ที่เกี่ยวข้องกับการทดสอบและการตรวจสอบว่าแผนที่วางไว้ได้ผลตามความคาดหวังหรือไม่?</v>
      </c>
      <c r="C38" t="s">
        <v>402</v>
      </c>
      <c r="D38">
        <v>1</v>
      </c>
      <c r="E38">
        <v>1</v>
      </c>
      <c r="F38" s="56">
        <v>0</v>
      </c>
      <c r="G38" s="49">
        <v>0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0</v>
      </c>
    </row>
    <row r="39" spans="1:50" ht="24.6">
      <c r="A39">
        <f t="shared" si="0"/>
        <v>35</v>
      </c>
      <c r="B39" t="str">
        <f>ข้อสอบ!B37</f>
        <v>ทีมพัฒนาซอฟต์แวร์ใช้ PDCA ในทบทวนกิจกรรมที่ผ่านมาอย่างไร?</v>
      </c>
      <c r="C39" t="s">
        <v>402</v>
      </c>
      <c r="D39">
        <v>0</v>
      </c>
      <c r="E39">
        <v>0</v>
      </c>
      <c r="F39" s="56">
        <v>0</v>
      </c>
      <c r="G39" s="4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1</v>
      </c>
      <c r="S39">
        <v>1</v>
      </c>
      <c r="T39">
        <v>1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1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</v>
      </c>
      <c r="AR39">
        <v>1</v>
      </c>
      <c r="AS39">
        <v>1</v>
      </c>
      <c r="AT39">
        <v>1</v>
      </c>
      <c r="AU39">
        <v>0</v>
      </c>
      <c r="AV39">
        <v>1</v>
      </c>
      <c r="AW39">
        <v>1</v>
      </c>
      <c r="AX39">
        <v>0</v>
      </c>
    </row>
    <row r="40" spans="1:50" ht="24.6">
      <c r="A40">
        <f t="shared" si="0"/>
        <v>36</v>
      </c>
      <c r="B40" t="str">
        <f>ข้อสอบ!B38</f>
        <v>จากกรณีศึกษา ทีมพัฒนาระบบ E-Commerce พบว่าหลังจากใช้ PDCA ผ่าน 3 Sprint อัตราความผิดพลาด (Defect Rate) ลดลง 20% แต่เวลาในการพัฒนาเพิ่มขึ้น 15% ข้อใดสะท้อนการประเมินที่สมดุลที่สุด?</v>
      </c>
      <c r="C40" t="s">
        <v>402</v>
      </c>
      <c r="D40">
        <v>1</v>
      </c>
      <c r="E40">
        <v>1</v>
      </c>
      <c r="F40" s="56">
        <v>1</v>
      </c>
      <c r="G40" s="49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0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0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0</v>
      </c>
      <c r="AL40">
        <v>1</v>
      </c>
      <c r="AM40">
        <v>0</v>
      </c>
      <c r="AN40">
        <v>1</v>
      </c>
      <c r="AO40">
        <v>1</v>
      </c>
      <c r="AP40">
        <v>1</v>
      </c>
      <c r="AQ40">
        <v>0</v>
      </c>
      <c r="AR40">
        <v>1</v>
      </c>
      <c r="AS40">
        <v>1</v>
      </c>
      <c r="AT40">
        <v>1</v>
      </c>
      <c r="AU40">
        <v>0</v>
      </c>
      <c r="AV40">
        <v>1</v>
      </c>
      <c r="AW40">
        <v>1</v>
      </c>
      <c r="AX40">
        <v>0</v>
      </c>
    </row>
    <row r="41" spans="1:50" ht="24.6">
      <c r="A41">
        <f t="shared" si="0"/>
        <v>37</v>
      </c>
      <c r="B41" t="str">
        <f>ข้อสอบ!B39</f>
        <v>หลักการ Encapsulation ใน C# หมายถึงอะไร?</v>
      </c>
      <c r="C41" t="s">
        <v>402</v>
      </c>
      <c r="D41">
        <v>1</v>
      </c>
      <c r="E41">
        <v>1</v>
      </c>
      <c r="F41" s="56">
        <v>1</v>
      </c>
      <c r="G41" s="49">
        <v>1</v>
      </c>
      <c r="H41">
        <v>0</v>
      </c>
      <c r="I41">
        <v>0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0</v>
      </c>
      <c r="T41">
        <v>0</v>
      </c>
      <c r="U41">
        <v>0</v>
      </c>
      <c r="V41">
        <v>1</v>
      </c>
      <c r="W41">
        <v>1</v>
      </c>
      <c r="X41">
        <v>1</v>
      </c>
      <c r="Y41">
        <v>0</v>
      </c>
      <c r="Z41">
        <v>0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0</v>
      </c>
      <c r="AH41">
        <v>0</v>
      </c>
      <c r="AI41">
        <v>1</v>
      </c>
      <c r="AJ41">
        <v>0</v>
      </c>
      <c r="AL41">
        <v>1</v>
      </c>
      <c r="AM41">
        <v>0</v>
      </c>
      <c r="AN41">
        <v>1</v>
      </c>
      <c r="AO41">
        <v>0</v>
      </c>
      <c r="AP41">
        <v>1</v>
      </c>
      <c r="AQ41">
        <v>1</v>
      </c>
      <c r="AR41">
        <v>1</v>
      </c>
      <c r="AS41">
        <v>0</v>
      </c>
      <c r="AT41">
        <v>1</v>
      </c>
      <c r="AU41">
        <v>0</v>
      </c>
      <c r="AV41">
        <v>0</v>
      </c>
      <c r="AW41">
        <v>1</v>
      </c>
      <c r="AX41">
        <v>0</v>
      </c>
    </row>
    <row r="42" spans="1:50" ht="24.6">
      <c r="A42">
        <f t="shared" si="0"/>
        <v>38</v>
      </c>
      <c r="B42" t="str">
        <f>ข้อสอบ!B40</f>
        <v>เมธอด Substring() ใน C# ใช้ทำอะไร?</v>
      </c>
      <c r="C42" t="s">
        <v>402</v>
      </c>
      <c r="D42">
        <v>1</v>
      </c>
      <c r="E42">
        <v>1</v>
      </c>
      <c r="F42" s="56">
        <v>1</v>
      </c>
      <c r="G42" s="49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0</v>
      </c>
      <c r="T42">
        <v>0</v>
      </c>
      <c r="U42">
        <v>0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0</v>
      </c>
      <c r="AC42">
        <v>1</v>
      </c>
      <c r="AD42">
        <v>1</v>
      </c>
      <c r="AE42">
        <v>1</v>
      </c>
      <c r="AF42">
        <v>1</v>
      </c>
      <c r="AG42">
        <v>0</v>
      </c>
      <c r="AH42">
        <v>0</v>
      </c>
      <c r="AI42">
        <v>1</v>
      </c>
      <c r="AJ42">
        <v>0</v>
      </c>
      <c r="AL42">
        <v>1</v>
      </c>
      <c r="AM42">
        <v>1</v>
      </c>
      <c r="AN42">
        <v>1</v>
      </c>
      <c r="AO42">
        <v>0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0</v>
      </c>
      <c r="AV42">
        <v>1</v>
      </c>
      <c r="AW42">
        <v>1</v>
      </c>
      <c r="AX42">
        <v>1</v>
      </c>
    </row>
    <row r="43" spans="1:50" ht="24.6">
      <c r="A43">
        <f t="shared" si="0"/>
        <v>39</v>
      </c>
      <c r="B43" t="str">
        <f>ข้อสอบ!B41</f>
        <v>จากโค้ดต่อไปนี้ ผลลัพธ์จะเป็นอย่างไร?
string str1 = "Hello";
string str2 = "hello";
int result = string.Compare(str1, str2, StringComparison.OrdinalIgnoreCase);
Console.WriteLine(result);</v>
      </c>
      <c r="C43" t="s">
        <v>402</v>
      </c>
      <c r="D43">
        <v>1</v>
      </c>
      <c r="E43">
        <v>1</v>
      </c>
      <c r="F43" s="56">
        <v>1</v>
      </c>
      <c r="G43" s="49">
        <v>1</v>
      </c>
      <c r="H43">
        <v>0</v>
      </c>
      <c r="I43">
        <v>0</v>
      </c>
      <c r="J43">
        <v>1</v>
      </c>
      <c r="K43">
        <v>1</v>
      </c>
      <c r="L43">
        <v>1</v>
      </c>
      <c r="M43">
        <v>0</v>
      </c>
      <c r="N43">
        <v>1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0</v>
      </c>
      <c r="AH43">
        <v>0</v>
      </c>
      <c r="AI43">
        <v>1</v>
      </c>
      <c r="AJ43">
        <v>1</v>
      </c>
      <c r="AL43">
        <v>1</v>
      </c>
      <c r="AM43">
        <v>0</v>
      </c>
      <c r="AN43">
        <v>1</v>
      </c>
      <c r="AO43">
        <v>0</v>
      </c>
      <c r="AP43">
        <v>1</v>
      </c>
      <c r="AQ43">
        <v>1</v>
      </c>
      <c r="AR43">
        <v>0</v>
      </c>
      <c r="AS43">
        <v>0</v>
      </c>
      <c r="AT43">
        <v>1</v>
      </c>
      <c r="AU43">
        <v>1</v>
      </c>
      <c r="AV43">
        <v>0</v>
      </c>
      <c r="AW43">
        <v>0</v>
      </c>
      <c r="AX43">
        <v>0</v>
      </c>
    </row>
    <row r="44" spans="1:50" ht="24.6">
      <c r="A44">
        <f t="shared" si="0"/>
        <v>40</v>
      </c>
      <c r="B44" t="str">
        <f>ข้อสอบ!B42</f>
        <v>การทดสอบแบบใดที่ตรวจสอบว่าระบบทำงานตามความต้องการของผู้ใช้หรือไม่?</v>
      </c>
      <c r="C44" t="s">
        <v>402</v>
      </c>
      <c r="D44">
        <v>1</v>
      </c>
      <c r="E44">
        <v>1</v>
      </c>
      <c r="F44" s="56">
        <v>1</v>
      </c>
      <c r="G44" s="49">
        <v>1</v>
      </c>
      <c r="H44">
        <v>0</v>
      </c>
      <c r="I44">
        <v>0</v>
      </c>
      <c r="J44">
        <v>1</v>
      </c>
      <c r="K44">
        <v>1</v>
      </c>
      <c r="L44">
        <v>1</v>
      </c>
      <c r="M44">
        <v>0</v>
      </c>
      <c r="N44">
        <v>1</v>
      </c>
      <c r="O44">
        <v>1</v>
      </c>
      <c r="P44">
        <v>1</v>
      </c>
      <c r="Q44">
        <v>1</v>
      </c>
      <c r="R44">
        <v>0</v>
      </c>
      <c r="S44">
        <v>0</v>
      </c>
      <c r="T44">
        <v>0</v>
      </c>
      <c r="U44">
        <v>0</v>
      </c>
      <c r="V44">
        <v>1</v>
      </c>
      <c r="W44">
        <v>1</v>
      </c>
      <c r="X44">
        <v>1</v>
      </c>
      <c r="Y44">
        <v>0</v>
      </c>
      <c r="Z44">
        <v>0</v>
      </c>
      <c r="AA44">
        <v>1</v>
      </c>
      <c r="AB44">
        <v>1</v>
      </c>
      <c r="AC44">
        <v>1</v>
      </c>
      <c r="AD44">
        <v>1</v>
      </c>
      <c r="AE44">
        <v>0</v>
      </c>
      <c r="AF44">
        <v>1</v>
      </c>
      <c r="AG44">
        <v>0</v>
      </c>
      <c r="AH44">
        <v>0</v>
      </c>
      <c r="AI44">
        <v>1</v>
      </c>
      <c r="AJ44">
        <v>0</v>
      </c>
      <c r="AL44">
        <v>1</v>
      </c>
      <c r="AM44">
        <v>0</v>
      </c>
      <c r="AN44">
        <v>1</v>
      </c>
      <c r="AO44">
        <v>0</v>
      </c>
      <c r="AP44">
        <v>1</v>
      </c>
      <c r="AQ44">
        <v>1</v>
      </c>
      <c r="AR44">
        <v>0</v>
      </c>
      <c r="AS44">
        <v>0</v>
      </c>
      <c r="AT44">
        <v>1</v>
      </c>
      <c r="AU44">
        <v>1</v>
      </c>
      <c r="AV44">
        <v>0</v>
      </c>
      <c r="AW44">
        <v>0</v>
      </c>
      <c r="AX44">
        <v>0</v>
      </c>
    </row>
    <row r="45" spans="1:50" ht="24.6">
      <c r="A45">
        <f t="shared" si="0"/>
        <v>41</v>
      </c>
      <c r="B45" t="str">
        <f>ข้อสอบ!B43</f>
        <v>คุณสมบัติใดของ DateTimePicker ที่ใช้กำหนดรูปแบบการแสดงผลวันที่?</v>
      </c>
      <c r="C45" t="s">
        <v>402</v>
      </c>
      <c r="D45">
        <v>1</v>
      </c>
      <c r="E45">
        <v>1</v>
      </c>
      <c r="F45" s="56">
        <v>1</v>
      </c>
      <c r="G45" s="49">
        <v>1</v>
      </c>
      <c r="H45">
        <v>0</v>
      </c>
      <c r="I45">
        <v>0</v>
      </c>
      <c r="J45">
        <v>0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1</v>
      </c>
      <c r="X45">
        <v>1</v>
      </c>
      <c r="Y45">
        <v>0</v>
      </c>
      <c r="Z45">
        <v>0</v>
      </c>
      <c r="AA45">
        <v>1</v>
      </c>
      <c r="AB45">
        <v>1</v>
      </c>
      <c r="AC45">
        <v>0</v>
      </c>
      <c r="AD45">
        <v>1</v>
      </c>
      <c r="AE45">
        <v>0</v>
      </c>
      <c r="AF45">
        <v>1</v>
      </c>
      <c r="AG45">
        <v>0</v>
      </c>
      <c r="AH45">
        <v>0</v>
      </c>
      <c r="AI45">
        <v>1</v>
      </c>
      <c r="AJ45">
        <v>0</v>
      </c>
      <c r="AL45">
        <v>1</v>
      </c>
      <c r="AM45">
        <v>0</v>
      </c>
      <c r="AN45">
        <v>0</v>
      </c>
      <c r="AO45">
        <v>0</v>
      </c>
      <c r="AP45">
        <v>1</v>
      </c>
      <c r="AQ45">
        <v>1</v>
      </c>
      <c r="AR45">
        <v>0</v>
      </c>
      <c r="AS45">
        <v>1</v>
      </c>
      <c r="AT45">
        <v>1</v>
      </c>
      <c r="AU45">
        <v>0</v>
      </c>
      <c r="AV45">
        <v>0</v>
      </c>
      <c r="AW45">
        <v>0</v>
      </c>
      <c r="AX45">
        <v>0</v>
      </c>
    </row>
    <row r="46" spans="1:50" ht="24.6">
      <c r="A46">
        <f t="shared" si="0"/>
        <v>42</v>
      </c>
      <c r="B46" t="str">
        <f>ข้อสอบ!B44</f>
        <v>จากฟอร์มที่มี NumericUpDown (ชื่อ numQuantity) และ TextBox (ชื่อ txtTotal) ต้องการคำนวณ Total = Quantity * 100 ทุกครั้งที่ค่ามีการเปลี่ยนแปลง ควรใช้เหตุการณ์ (Event) ใด?</v>
      </c>
      <c r="C46" t="s">
        <v>402</v>
      </c>
      <c r="D46">
        <v>1</v>
      </c>
      <c r="E46">
        <v>1</v>
      </c>
      <c r="F46" s="56">
        <v>1</v>
      </c>
      <c r="G46" s="49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0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0</v>
      </c>
      <c r="AF46">
        <v>1</v>
      </c>
      <c r="AG46">
        <v>1</v>
      </c>
      <c r="AH46">
        <v>1</v>
      </c>
      <c r="AI46">
        <v>1</v>
      </c>
      <c r="AJ46">
        <v>1</v>
      </c>
      <c r="AL46">
        <v>0</v>
      </c>
      <c r="AM46">
        <v>0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0</v>
      </c>
      <c r="AT46">
        <v>1</v>
      </c>
      <c r="AU46">
        <v>1</v>
      </c>
      <c r="AV46">
        <v>1</v>
      </c>
      <c r="AW46">
        <v>0</v>
      </c>
      <c r="AX46">
        <v>0</v>
      </c>
    </row>
    <row r="47" spans="1:50" ht="24.6">
      <c r="A47">
        <f t="shared" si="0"/>
        <v>43</v>
      </c>
      <c r="B47" t="str">
        <f>ข้อสอบ!B45</f>
        <v>ต้องการตรวจสอบว่า TextBox (ชื่อ txtAge) มีค่าที่กรอกเป็นตัวเลขเท่านั้น ควรใช้โค้ดใดในเหตุการณ์ txtAge_KeyPress?</v>
      </c>
      <c r="C47" t="s">
        <v>402</v>
      </c>
      <c r="D47">
        <v>1</v>
      </c>
      <c r="E47">
        <v>1</v>
      </c>
      <c r="F47" s="56">
        <v>1</v>
      </c>
      <c r="G47" s="49">
        <v>0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0</v>
      </c>
      <c r="S47">
        <v>0</v>
      </c>
      <c r="T47">
        <v>0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0</v>
      </c>
      <c r="AF47">
        <v>1</v>
      </c>
      <c r="AG47">
        <v>1</v>
      </c>
      <c r="AH47">
        <v>1</v>
      </c>
      <c r="AI47">
        <v>1</v>
      </c>
      <c r="AJ47">
        <v>0</v>
      </c>
      <c r="AL47">
        <v>1</v>
      </c>
      <c r="AM47">
        <v>1</v>
      </c>
      <c r="AN47">
        <v>1</v>
      </c>
      <c r="AO47">
        <v>0</v>
      </c>
      <c r="AP47">
        <v>1</v>
      </c>
      <c r="AQ47">
        <v>1</v>
      </c>
      <c r="AR47">
        <v>1</v>
      </c>
      <c r="AS47">
        <v>1</v>
      </c>
      <c r="AT47">
        <v>0</v>
      </c>
      <c r="AU47">
        <v>0</v>
      </c>
      <c r="AV47">
        <v>1</v>
      </c>
      <c r="AW47">
        <v>0</v>
      </c>
      <c r="AX47">
        <v>0</v>
      </c>
    </row>
    <row r="48" spans="1:50" ht="24.6">
      <c r="A48">
        <f t="shared" si="0"/>
        <v>44</v>
      </c>
      <c r="B48" t="str">
        <f>ข้อสอบ!B46</f>
        <v>หากต้องการให้ข้อความในแท็ก &lt;p&gt; มีสีแดง ควรใช้รูปแบบใด?</v>
      </c>
      <c r="C48" t="s">
        <v>402</v>
      </c>
      <c r="D48">
        <v>0</v>
      </c>
      <c r="E48">
        <v>0</v>
      </c>
      <c r="F48" s="56">
        <v>1</v>
      </c>
      <c r="G48" s="49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0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0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0</v>
      </c>
      <c r="AS48">
        <v>1</v>
      </c>
      <c r="AT48">
        <v>1</v>
      </c>
      <c r="AU48">
        <v>0</v>
      </c>
      <c r="AV48">
        <v>1</v>
      </c>
      <c r="AW48">
        <v>0</v>
      </c>
      <c r="AX48">
        <v>0</v>
      </c>
    </row>
    <row r="49" spans="1:50" ht="24.6">
      <c r="A49">
        <f t="shared" si="0"/>
        <v>45</v>
      </c>
      <c r="B49" t="str">
        <f>ข้อสอบ!B47</f>
        <v>ใน Visual Studio คีย์เวิร์ดใดใช้สำหรับสร้าง XML Comments ที่แสดงคำอธิบายเมธอดแบบมาตรฐาน?</v>
      </c>
      <c r="C49" t="s">
        <v>402</v>
      </c>
      <c r="D49">
        <v>1</v>
      </c>
      <c r="E49">
        <v>1</v>
      </c>
      <c r="F49" s="56">
        <v>1</v>
      </c>
      <c r="G49" s="49">
        <v>1</v>
      </c>
      <c r="H49">
        <v>1</v>
      </c>
      <c r="I49">
        <v>0</v>
      </c>
      <c r="J49">
        <v>1</v>
      </c>
      <c r="K49">
        <v>1</v>
      </c>
      <c r="L49">
        <v>0</v>
      </c>
      <c r="M49">
        <v>0</v>
      </c>
      <c r="N49">
        <v>1</v>
      </c>
      <c r="O49">
        <v>1</v>
      </c>
      <c r="P49">
        <v>1</v>
      </c>
      <c r="Q49">
        <v>1</v>
      </c>
      <c r="R49">
        <v>1</v>
      </c>
      <c r="S49">
        <v>0</v>
      </c>
      <c r="T49">
        <v>0</v>
      </c>
      <c r="U49">
        <v>0</v>
      </c>
      <c r="V49">
        <v>1</v>
      </c>
      <c r="W49">
        <v>0</v>
      </c>
      <c r="X49">
        <v>1</v>
      </c>
      <c r="Y49">
        <v>0</v>
      </c>
      <c r="Z49">
        <v>0</v>
      </c>
      <c r="AA49">
        <v>1</v>
      </c>
      <c r="AB49">
        <v>1</v>
      </c>
      <c r="AC49">
        <v>1</v>
      </c>
      <c r="AD49">
        <v>1</v>
      </c>
      <c r="AE49">
        <v>0</v>
      </c>
      <c r="AF49">
        <v>1</v>
      </c>
      <c r="AG49">
        <v>0</v>
      </c>
      <c r="AH49">
        <v>0</v>
      </c>
      <c r="AI49">
        <v>1</v>
      </c>
      <c r="AJ49">
        <v>1</v>
      </c>
      <c r="AL49">
        <v>1</v>
      </c>
      <c r="AM49">
        <v>1</v>
      </c>
      <c r="AN49">
        <v>1</v>
      </c>
      <c r="AO49">
        <v>0</v>
      </c>
      <c r="AP49">
        <v>1</v>
      </c>
      <c r="AQ49">
        <v>1</v>
      </c>
      <c r="AR49">
        <v>1</v>
      </c>
      <c r="AS49">
        <v>0</v>
      </c>
      <c r="AT49">
        <v>1</v>
      </c>
      <c r="AU49">
        <v>0</v>
      </c>
      <c r="AV49">
        <v>1</v>
      </c>
      <c r="AW49">
        <v>0</v>
      </c>
      <c r="AX49">
        <v>1</v>
      </c>
    </row>
    <row r="50" spans="1:50" ht="24.6">
      <c r="A50">
        <f t="shared" si="0"/>
        <v>46</v>
      </c>
      <c r="B50" t="str">
        <f>ข้อสอบ!B48</f>
        <v>จากโค้ดต่อไปนี้ ต้องการเพิ่ม XML Comments สำหรับพารามิเตอร์และค่าที่คืนกลับ ควรเขียนอย่างไร?</v>
      </c>
      <c r="C50" t="s">
        <v>402</v>
      </c>
      <c r="D50">
        <v>0</v>
      </c>
      <c r="E50">
        <v>1</v>
      </c>
      <c r="F50" s="56">
        <v>1</v>
      </c>
      <c r="G50" s="49">
        <v>1</v>
      </c>
      <c r="H50">
        <v>1</v>
      </c>
      <c r="I50">
        <v>1</v>
      </c>
      <c r="J50">
        <v>0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0</v>
      </c>
      <c r="T50">
        <v>0</v>
      </c>
      <c r="U50">
        <v>1</v>
      </c>
      <c r="V50">
        <v>1</v>
      </c>
      <c r="W50">
        <v>1</v>
      </c>
      <c r="X50">
        <v>1</v>
      </c>
      <c r="Y50">
        <v>1</v>
      </c>
      <c r="Z50">
        <v>0</v>
      </c>
      <c r="AA50">
        <v>1</v>
      </c>
      <c r="AB50">
        <v>0</v>
      </c>
      <c r="AC50">
        <v>1</v>
      </c>
      <c r="AD50">
        <v>1</v>
      </c>
      <c r="AE50">
        <v>1</v>
      </c>
      <c r="AF50">
        <v>1</v>
      </c>
      <c r="AG50">
        <v>0</v>
      </c>
      <c r="AH50">
        <v>0</v>
      </c>
      <c r="AI50">
        <v>1</v>
      </c>
      <c r="AJ50">
        <v>1</v>
      </c>
      <c r="AL50">
        <v>1</v>
      </c>
      <c r="AM50">
        <v>0</v>
      </c>
      <c r="AN50">
        <v>1</v>
      </c>
      <c r="AO50">
        <v>1</v>
      </c>
      <c r="AP50">
        <v>0</v>
      </c>
      <c r="AQ50">
        <v>1</v>
      </c>
      <c r="AR50">
        <v>1</v>
      </c>
      <c r="AS50">
        <v>0</v>
      </c>
      <c r="AT50">
        <v>1</v>
      </c>
      <c r="AU50">
        <v>0</v>
      </c>
      <c r="AV50">
        <v>1</v>
      </c>
      <c r="AW50">
        <v>0</v>
      </c>
      <c r="AX50">
        <v>0</v>
      </c>
    </row>
    <row r="51" spans="1:50" ht="24.6">
      <c r="A51">
        <f t="shared" si="0"/>
        <v>47</v>
      </c>
      <c r="B51" t="str">
        <f>ข้อสอบ!B49</f>
        <v>ข้อใดคือองค์ประกอบที่จำเป็นใน Use Case Diagram สำหรับระบุความต้องการซอฟต์แวร์?</v>
      </c>
      <c r="C51" t="s">
        <v>402</v>
      </c>
      <c r="D51">
        <v>1</v>
      </c>
      <c r="E51">
        <v>1</v>
      </c>
      <c r="F51" s="56">
        <v>1</v>
      </c>
      <c r="G51" s="49">
        <v>1</v>
      </c>
      <c r="H51">
        <v>0</v>
      </c>
      <c r="I51">
        <v>1</v>
      </c>
      <c r="J51">
        <v>1</v>
      </c>
      <c r="K51">
        <v>1</v>
      </c>
      <c r="L51">
        <v>0</v>
      </c>
      <c r="M51">
        <v>1</v>
      </c>
      <c r="N51">
        <v>1</v>
      </c>
      <c r="O51">
        <v>1</v>
      </c>
      <c r="P51">
        <v>1</v>
      </c>
      <c r="Q51">
        <v>1</v>
      </c>
      <c r="R51">
        <v>0</v>
      </c>
      <c r="S51">
        <v>1</v>
      </c>
      <c r="T51">
        <v>1</v>
      </c>
      <c r="U51">
        <v>1</v>
      </c>
      <c r="V51">
        <v>1</v>
      </c>
      <c r="W51">
        <v>0</v>
      </c>
      <c r="X51">
        <v>1</v>
      </c>
      <c r="Y51">
        <v>0</v>
      </c>
      <c r="Z51">
        <v>0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L51">
        <v>0</v>
      </c>
      <c r="AM51">
        <v>1</v>
      </c>
      <c r="AN51">
        <v>1</v>
      </c>
      <c r="AO51">
        <v>0</v>
      </c>
      <c r="AP51">
        <v>1</v>
      </c>
      <c r="AQ51">
        <v>1</v>
      </c>
      <c r="AR51">
        <v>1</v>
      </c>
      <c r="AS51">
        <v>0</v>
      </c>
      <c r="AT51">
        <v>1</v>
      </c>
      <c r="AU51">
        <v>1</v>
      </c>
      <c r="AV51">
        <v>1</v>
      </c>
      <c r="AW51">
        <v>0</v>
      </c>
      <c r="AX51">
        <v>0</v>
      </c>
    </row>
    <row r="52" spans="1:50" ht="24.6">
      <c r="A52">
        <f t="shared" si="0"/>
        <v>48</v>
      </c>
      <c r="B52" t="str">
        <f>ข้อสอบ!B50</f>
        <v>จากระบบห้องสมุดโรงเรียนที่มี Actor คือ "นักเรียน", "ครู", และ "บรรณารักษ์" ข้อใดแสดง Use Case Diagram ที่สมบูรณ์ที่สุด?</v>
      </c>
      <c r="C52" t="s">
        <v>402</v>
      </c>
      <c r="D52">
        <v>1</v>
      </c>
      <c r="E52">
        <v>1</v>
      </c>
      <c r="F52" s="56">
        <v>1</v>
      </c>
      <c r="G52" s="49">
        <v>1</v>
      </c>
      <c r="H52">
        <v>1</v>
      </c>
      <c r="I52">
        <v>0</v>
      </c>
      <c r="J52">
        <v>1</v>
      </c>
      <c r="K52">
        <v>1</v>
      </c>
      <c r="L52">
        <v>1</v>
      </c>
      <c r="M52">
        <v>0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L52">
        <v>1</v>
      </c>
      <c r="AM52">
        <v>1</v>
      </c>
      <c r="AN52">
        <v>1</v>
      </c>
      <c r="AO52">
        <v>0</v>
      </c>
      <c r="AP52">
        <v>1</v>
      </c>
      <c r="AQ52">
        <v>0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0</v>
      </c>
    </row>
    <row r="53" spans="1:50" ht="24.6">
      <c r="A53">
        <f t="shared" si="0"/>
        <v>49</v>
      </c>
      <c r="B53" t="str">
        <f>ข้อสอบ!B51</f>
        <v xml:space="preserve"> จากระบบ Facebook ที่มี Actor คือ "ผู้ใช้ทั่วไป", "ผู้ดูแลระบบ", และ "นักโฆษณา" ข้อใดแสดง Use Case Diagram ที่สมบูรณ์ที่สุด?</v>
      </c>
      <c r="C53" t="s">
        <v>402</v>
      </c>
      <c r="D53">
        <v>1</v>
      </c>
      <c r="E53">
        <v>1</v>
      </c>
      <c r="F53" s="56">
        <v>1</v>
      </c>
      <c r="G53" s="49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0</v>
      </c>
      <c r="N53">
        <v>1</v>
      </c>
      <c r="O53">
        <v>1</v>
      </c>
      <c r="P53">
        <v>1</v>
      </c>
      <c r="Q53">
        <v>1</v>
      </c>
      <c r="R53">
        <v>0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0</v>
      </c>
      <c r="AL53">
        <v>1</v>
      </c>
      <c r="AM53">
        <v>1</v>
      </c>
      <c r="AN53">
        <v>1</v>
      </c>
      <c r="AO53">
        <v>0</v>
      </c>
      <c r="AP53">
        <v>1</v>
      </c>
      <c r="AQ53">
        <v>1</v>
      </c>
      <c r="AR53">
        <v>1</v>
      </c>
      <c r="AS53">
        <v>0</v>
      </c>
      <c r="AT53">
        <v>0</v>
      </c>
      <c r="AU53">
        <v>1</v>
      </c>
      <c r="AV53">
        <v>1</v>
      </c>
      <c r="AW53">
        <v>1</v>
      </c>
      <c r="AX53">
        <v>0</v>
      </c>
    </row>
    <row r="54" spans="1:50" ht="24.6">
      <c r="A54">
        <f t="shared" si="0"/>
        <v>50</v>
      </c>
      <c r="B54" t="str">
        <f>ข้อสอบ!B52</f>
        <v>หลักการใดที่สำคัญที่สุดในการเก็บรวบรวมความต้องการจากผู้ใช้เพื่อให้เป็นไปตามจริยธรรม?</v>
      </c>
      <c r="C54" t="s">
        <v>402</v>
      </c>
      <c r="D54">
        <v>1</v>
      </c>
      <c r="E54">
        <v>1</v>
      </c>
      <c r="F54" s="56">
        <v>1</v>
      </c>
      <c r="G54" s="49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0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</row>
    <row r="55" spans="1:50" ht="24.6">
      <c r="A55">
        <f t="shared" si="0"/>
        <v>51</v>
      </c>
      <c r="B55" t="str">
        <f>ข้อสอบ!B53</f>
        <v>หากลูกค้าระบุความต้องการให้ระบบสามารถดักจับข้อมูลการสนทนาของผู้ใช้โดยไม่แจ้งให้ทราบ วิศวกรซอฟต์แวร์ควรทำอย่างไร?</v>
      </c>
      <c r="C55" t="s">
        <v>402</v>
      </c>
      <c r="D55">
        <v>1</v>
      </c>
      <c r="E55">
        <v>1</v>
      </c>
      <c r="F55" s="56">
        <v>1</v>
      </c>
      <c r="G55" s="49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0</v>
      </c>
      <c r="T55">
        <v>1</v>
      </c>
      <c r="U55">
        <v>1</v>
      </c>
      <c r="V55">
        <v>0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</row>
    <row r="56" spans="1:50" ht="24.6">
      <c r="A56">
        <f t="shared" si="0"/>
        <v>52</v>
      </c>
      <c r="B56" t="str">
        <f>ข้อสอบ!B54</f>
        <v>ข้อใดคือความเสี่ยงด้านจริยธรรมหลักของ AI Chatbot ที่ใช้ข้อมูลส่วนตัวผู้ใช้เพื่อปรับปรุงการตอบสนอง?</v>
      </c>
      <c r="C56" t="s">
        <v>402</v>
      </c>
      <c r="D56">
        <v>1</v>
      </c>
      <c r="E56">
        <v>1</v>
      </c>
      <c r="F56" s="56">
        <v>1</v>
      </c>
      <c r="G56" s="49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L56">
        <v>0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</row>
    <row r="57" spans="1:50" ht="24.6">
      <c r="A57">
        <f t="shared" si="0"/>
        <v>53</v>
      </c>
      <c r="B57" t="str">
        <f>ข้อสอบ!B55</f>
        <v>หากต้องพัฒนา AI Chatbot สำหรับบริการสุขภาพที่เก็บข้อมูลอาการป่วยผู้ใช้ ข้อใดคือแนวทางปฏิบัติที่ดีที่สุดเพื่อให้เป็นไปตามหลักจริยธรรม?</v>
      </c>
      <c r="C57" t="s">
        <v>402</v>
      </c>
      <c r="D57">
        <v>0</v>
      </c>
      <c r="E57">
        <v>1</v>
      </c>
      <c r="F57" s="56">
        <v>1</v>
      </c>
      <c r="G57" s="49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0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L57">
        <v>1</v>
      </c>
      <c r="AM57">
        <v>1</v>
      </c>
      <c r="AN57">
        <v>1</v>
      </c>
      <c r="AO57">
        <v>0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</row>
    <row r="58" spans="1:50" ht="24.6">
      <c r="A58">
        <f t="shared" si="0"/>
        <v>54</v>
      </c>
      <c r="B58" t="str">
        <f>ข้อสอบ!B56</f>
        <v>ข้อใดคือตัวอย่างความต้องการซอฟต์แวร์ที่เสี่ยงต่อการละเมิด มาตรา 5 พรบ.คอมพิวเตอร์ ว่าด้วยการเข้าถึงข้อมูลโดยไม่ชอบด้วยกฎหมาย?</v>
      </c>
      <c r="C58" t="s">
        <v>402</v>
      </c>
      <c r="D58">
        <v>0</v>
      </c>
      <c r="E58">
        <v>1</v>
      </c>
      <c r="F58" s="56">
        <v>1</v>
      </c>
      <c r="G58" s="49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0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0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</row>
    <row r="59" spans="1:50" ht="24.6">
      <c r="A59">
        <f t="shared" si="0"/>
        <v>55</v>
      </c>
      <c r="B59" t="str">
        <f>ข้อสอบ!B57</f>
        <v>หากต้องพัฒนาระบบเก็บประวัติการค้นหาของผู้ใช้ (Search History) ควรทำอย่างไรเพื่อไม่ให้ขัด มาตรา 26 พรบ.คอมพิวเตอร์ ว่าด้วยการเปิดเผยข้อมูลส่วนบุคคล?</v>
      </c>
      <c r="C59" t="s">
        <v>402</v>
      </c>
      <c r="D59">
        <v>1</v>
      </c>
      <c r="E59">
        <v>1</v>
      </c>
      <c r="F59" s="56">
        <v>1</v>
      </c>
      <c r="G59" s="49">
        <v>0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0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</row>
    <row r="60" spans="1:50" ht="24.6">
      <c r="A60">
        <f t="shared" si="0"/>
        <v>56</v>
      </c>
      <c r="B60" t="str">
        <f>ข้อสอบ!B58</f>
        <v>ในการเก็บรวบรวมเอกสารสำหรับกระบวนการสำรวจความต้องการซอฟต์แวร์ เอกสารใดต่อไปนี้มีความสำคัญน้อยที่สุดสำหรับการวิเคราะห์ความต้องการเบื้องต้น?</v>
      </c>
      <c r="C60" t="s">
        <v>402</v>
      </c>
      <c r="D60">
        <v>0</v>
      </c>
      <c r="E60">
        <v>1</v>
      </c>
      <c r="F60" s="56">
        <v>1</v>
      </c>
      <c r="G60" s="49">
        <v>0</v>
      </c>
      <c r="H60">
        <v>0</v>
      </c>
      <c r="I60">
        <v>1</v>
      </c>
      <c r="J60">
        <v>1</v>
      </c>
      <c r="K60">
        <v>1</v>
      </c>
      <c r="L60">
        <v>1</v>
      </c>
      <c r="M60">
        <v>0</v>
      </c>
      <c r="N60">
        <v>1</v>
      </c>
      <c r="O60">
        <v>1</v>
      </c>
      <c r="P60">
        <v>1</v>
      </c>
      <c r="Q60">
        <v>1</v>
      </c>
      <c r="R60">
        <v>0</v>
      </c>
      <c r="S60">
        <v>1</v>
      </c>
      <c r="T60">
        <v>1</v>
      </c>
      <c r="U60">
        <v>0</v>
      </c>
      <c r="V60">
        <v>0</v>
      </c>
      <c r="W60">
        <v>1</v>
      </c>
      <c r="X60">
        <v>1</v>
      </c>
      <c r="Y60">
        <v>1</v>
      </c>
      <c r="Z60">
        <v>0</v>
      </c>
      <c r="AA60">
        <v>1</v>
      </c>
      <c r="AB60">
        <v>0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0</v>
      </c>
      <c r="AI60">
        <v>1</v>
      </c>
      <c r="AJ60">
        <v>0</v>
      </c>
      <c r="AL60">
        <v>1</v>
      </c>
      <c r="AM60">
        <v>0</v>
      </c>
      <c r="AN60">
        <v>0</v>
      </c>
      <c r="AO60">
        <v>1</v>
      </c>
      <c r="AP60">
        <v>0</v>
      </c>
      <c r="AQ60">
        <v>0</v>
      </c>
      <c r="AR60">
        <v>0</v>
      </c>
      <c r="AS60">
        <v>1</v>
      </c>
      <c r="AT60">
        <v>0</v>
      </c>
      <c r="AU60">
        <v>1</v>
      </c>
      <c r="AV60">
        <v>0</v>
      </c>
      <c r="AW60">
        <v>0</v>
      </c>
      <c r="AX60">
        <v>0</v>
      </c>
    </row>
    <row r="61" spans="1:50" ht="24.6">
      <c r="A61">
        <f t="shared" si="0"/>
        <v>57</v>
      </c>
      <c r="B61" t="str">
        <f>ข้อสอบ!B59</f>
        <v>ท่านได้รับมอบหมายให้จัดการเอกสารความต้องการสำหรับเว็บแอปพลิเคชันขายหนังสือออนไลน์ ข้อใดคือลำดับการดำเนินการที่ถูกต้องที่สุด?</v>
      </c>
      <c r="C61" t="s">
        <v>402</v>
      </c>
      <c r="D61">
        <v>1</v>
      </c>
      <c r="E61">
        <v>1</v>
      </c>
      <c r="F61" s="56">
        <v>0</v>
      </c>
      <c r="G61" s="49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0</v>
      </c>
      <c r="T61">
        <v>0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0</v>
      </c>
      <c r="AC61">
        <v>0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0</v>
      </c>
      <c r="AL61">
        <v>1</v>
      </c>
      <c r="AM61">
        <v>0</v>
      </c>
      <c r="AN61">
        <v>1</v>
      </c>
      <c r="AO61">
        <v>1</v>
      </c>
      <c r="AP61">
        <v>1</v>
      </c>
      <c r="AQ61">
        <v>0</v>
      </c>
      <c r="AR61">
        <v>1</v>
      </c>
      <c r="AS61">
        <v>0</v>
      </c>
      <c r="AT61">
        <v>0</v>
      </c>
      <c r="AU61">
        <v>0</v>
      </c>
      <c r="AV61">
        <v>1</v>
      </c>
      <c r="AW61">
        <v>0</v>
      </c>
      <c r="AX61">
        <v>1</v>
      </c>
    </row>
    <row r="62" spans="1:50" ht="24.6">
      <c r="A62">
        <f t="shared" si="0"/>
        <v>58</v>
      </c>
      <c r="B62" t="str">
        <f>ข้อสอบ!B60</f>
        <v xml:space="preserve"> ข้อใดคือลักษณะเฉพาะที่สำคัญที่สุดของ RUP ที่แตกต่างจากแบบจำลองกระบวนการพัฒนาซอฟต์แวร์แบบน้ำตก (Waterfall Model)?</v>
      </c>
      <c r="C62" t="s">
        <v>402</v>
      </c>
      <c r="D62">
        <v>1</v>
      </c>
      <c r="E62">
        <v>1</v>
      </c>
      <c r="F62" s="56">
        <v>1</v>
      </c>
      <c r="G62" s="49">
        <v>1</v>
      </c>
      <c r="H62">
        <v>0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0</v>
      </c>
      <c r="AH62">
        <v>0</v>
      </c>
      <c r="AI62">
        <v>1</v>
      </c>
      <c r="AJ62">
        <v>1</v>
      </c>
      <c r="AL62">
        <v>1</v>
      </c>
      <c r="AM62">
        <v>0</v>
      </c>
      <c r="AN62">
        <v>0</v>
      </c>
      <c r="AO62">
        <v>0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0</v>
      </c>
      <c r="AV62">
        <v>0</v>
      </c>
      <c r="AW62">
        <v>0</v>
      </c>
      <c r="AX62">
        <v>0</v>
      </c>
    </row>
    <row r="63" spans="1:50" ht="24.6">
      <c r="A63">
        <f t="shared" si="0"/>
        <v>59</v>
      </c>
      <c r="B63" t="str">
        <f>ข้อสอบ!B61</f>
        <v>ท่านได้รับมอบหมายให้ใช้ RUP พัฒนาระบบจองห้องพักออนไลน์ ข้อใดคือลำดับการดำเนินการที่ถูกต้องสำหรับ Iteration แรก?</v>
      </c>
      <c r="C63" t="s">
        <v>402</v>
      </c>
      <c r="D63">
        <v>1</v>
      </c>
      <c r="E63">
        <v>1</v>
      </c>
      <c r="F63" s="56">
        <v>1</v>
      </c>
      <c r="G63" s="49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</v>
      </c>
      <c r="V63">
        <v>1</v>
      </c>
      <c r="W63">
        <v>0</v>
      </c>
      <c r="X63">
        <v>1</v>
      </c>
      <c r="Y63">
        <v>1</v>
      </c>
      <c r="Z63">
        <v>1</v>
      </c>
      <c r="AA63">
        <v>1</v>
      </c>
      <c r="AB63">
        <v>0</v>
      </c>
      <c r="AC63">
        <v>0</v>
      </c>
      <c r="AD63">
        <v>1</v>
      </c>
      <c r="AE63">
        <v>0</v>
      </c>
      <c r="AF63">
        <v>1</v>
      </c>
      <c r="AG63">
        <v>1</v>
      </c>
      <c r="AH63">
        <v>1</v>
      </c>
      <c r="AI63">
        <v>1</v>
      </c>
      <c r="AJ63">
        <v>1</v>
      </c>
      <c r="AL63">
        <v>1</v>
      </c>
      <c r="AM63">
        <v>0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0</v>
      </c>
      <c r="AU63">
        <v>1</v>
      </c>
      <c r="AV63">
        <v>1</v>
      </c>
      <c r="AW63">
        <v>0</v>
      </c>
      <c r="AX63">
        <v>1</v>
      </c>
    </row>
    <row r="64" spans="1:50" ht="24.6">
      <c r="A64">
        <f t="shared" si="0"/>
        <v>60</v>
      </c>
      <c r="B64" t="str">
        <f>ข้อสอบ!B62</f>
        <v xml:space="preserve"> Process Area ใดใน CMMI ที่เกี่ยวข้องกับการใช้ Usecase model?</v>
      </c>
      <c r="C64" t="s">
        <v>402</v>
      </c>
      <c r="D64">
        <v>1</v>
      </c>
      <c r="E64">
        <v>1</v>
      </c>
      <c r="F64" s="56">
        <v>1</v>
      </c>
      <c r="G64" s="49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0</v>
      </c>
      <c r="T64">
        <v>1</v>
      </c>
      <c r="U64">
        <v>0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0</v>
      </c>
      <c r="AF64">
        <v>1</v>
      </c>
      <c r="AG64">
        <v>0</v>
      </c>
      <c r="AH64">
        <v>0</v>
      </c>
      <c r="AI64">
        <v>1</v>
      </c>
      <c r="AJ64">
        <v>1</v>
      </c>
      <c r="AL64">
        <v>1</v>
      </c>
      <c r="AM64">
        <v>0</v>
      </c>
      <c r="AN64">
        <v>1</v>
      </c>
      <c r="AO64">
        <v>0</v>
      </c>
      <c r="AP64">
        <v>1</v>
      </c>
      <c r="AQ64">
        <v>1</v>
      </c>
      <c r="AR64">
        <v>0</v>
      </c>
      <c r="AS64">
        <v>0</v>
      </c>
      <c r="AT64">
        <v>1</v>
      </c>
      <c r="AU64">
        <v>1</v>
      </c>
      <c r="AV64">
        <v>1</v>
      </c>
      <c r="AW64">
        <v>1</v>
      </c>
      <c r="AX64">
        <v>0</v>
      </c>
    </row>
    <row r="65" spans="1:50" s="55" customFormat="1" thickBot="1">
      <c r="A65" s="57" t="s">
        <v>355</v>
      </c>
      <c r="B65" s="57"/>
      <c r="C65" s="55" t="s">
        <v>402</v>
      </c>
      <c r="D65" s="55">
        <f>SUM(D5:D64)</f>
        <v>42</v>
      </c>
      <c r="E65" s="55">
        <f>SUM(E5:E64)</f>
        <v>57</v>
      </c>
      <c r="F65" s="55">
        <f>SUM(F5:F64)</f>
        <v>55</v>
      </c>
      <c r="G65" s="55">
        <f>SUM(G5:G64)</f>
        <v>45</v>
      </c>
      <c r="H65" s="55">
        <f t="shared" ref="H65:AX65" si="1">SUM(H5:H64)</f>
        <v>40</v>
      </c>
      <c r="I65" s="55">
        <f t="shared" si="1"/>
        <v>40</v>
      </c>
      <c r="J65" s="55">
        <f t="shared" si="1"/>
        <v>54</v>
      </c>
      <c r="K65" s="55">
        <f t="shared" si="1"/>
        <v>58</v>
      </c>
      <c r="L65" s="55">
        <f t="shared" si="1"/>
        <v>54</v>
      </c>
      <c r="M65" s="55">
        <f t="shared" si="1"/>
        <v>45</v>
      </c>
      <c r="N65" s="55">
        <f t="shared" si="1"/>
        <v>58</v>
      </c>
      <c r="O65" s="55">
        <f t="shared" si="1"/>
        <v>57</v>
      </c>
      <c r="P65" s="55">
        <f t="shared" si="1"/>
        <v>59</v>
      </c>
      <c r="Q65" s="55">
        <f t="shared" si="1"/>
        <v>52</v>
      </c>
      <c r="R65" s="55">
        <f t="shared" si="1"/>
        <v>36</v>
      </c>
      <c r="S65" s="55">
        <f t="shared" si="1"/>
        <v>35</v>
      </c>
      <c r="T65" s="55">
        <f t="shared" si="1"/>
        <v>37</v>
      </c>
      <c r="U65" s="55">
        <f t="shared" si="1"/>
        <v>36</v>
      </c>
      <c r="V65" s="55">
        <f t="shared" si="1"/>
        <v>41</v>
      </c>
      <c r="W65" s="55">
        <f t="shared" si="1"/>
        <v>56</v>
      </c>
      <c r="X65" s="55">
        <f t="shared" si="1"/>
        <v>58</v>
      </c>
      <c r="Y65" s="55">
        <f t="shared" si="1"/>
        <v>39</v>
      </c>
      <c r="Z65" s="55">
        <f t="shared" si="1"/>
        <v>43</v>
      </c>
      <c r="AA65" s="55">
        <f t="shared" si="1"/>
        <v>55</v>
      </c>
      <c r="AB65" s="55">
        <f t="shared" si="1"/>
        <v>47</v>
      </c>
      <c r="AC65" s="55">
        <f t="shared" si="1"/>
        <v>37</v>
      </c>
      <c r="AD65" s="55">
        <f t="shared" si="1"/>
        <v>50</v>
      </c>
      <c r="AE65" s="55">
        <f t="shared" si="1"/>
        <v>41</v>
      </c>
      <c r="AF65" s="55">
        <f t="shared" si="1"/>
        <v>58</v>
      </c>
      <c r="AG65" s="55">
        <f t="shared" si="1"/>
        <v>39</v>
      </c>
      <c r="AH65" s="55">
        <f t="shared" si="1"/>
        <v>39</v>
      </c>
      <c r="AI65" s="55">
        <f t="shared" si="1"/>
        <v>58</v>
      </c>
      <c r="AJ65" s="55">
        <f t="shared" si="1"/>
        <v>33</v>
      </c>
      <c r="AK65" s="55">
        <f t="shared" si="1"/>
        <v>0</v>
      </c>
      <c r="AL65" s="55">
        <f t="shared" si="1"/>
        <v>51</v>
      </c>
      <c r="AM65" s="55">
        <f t="shared" si="1"/>
        <v>34</v>
      </c>
      <c r="AN65" s="55">
        <f t="shared" si="1"/>
        <v>49</v>
      </c>
      <c r="AO65" s="55">
        <f t="shared" si="1"/>
        <v>37</v>
      </c>
      <c r="AP65" s="55">
        <f t="shared" si="1"/>
        <v>56</v>
      </c>
      <c r="AQ65" s="55">
        <f t="shared" si="1"/>
        <v>52</v>
      </c>
      <c r="AR65" s="55">
        <f t="shared" si="1"/>
        <v>44</v>
      </c>
      <c r="AS65" s="55">
        <f t="shared" si="1"/>
        <v>31</v>
      </c>
      <c r="AT65" s="55">
        <f t="shared" si="1"/>
        <v>44</v>
      </c>
      <c r="AU65" s="55">
        <f t="shared" si="1"/>
        <v>31</v>
      </c>
      <c r="AV65" s="55">
        <f t="shared" si="1"/>
        <v>42</v>
      </c>
      <c r="AW65" s="55">
        <f t="shared" si="1"/>
        <v>33</v>
      </c>
      <c r="AX65" s="55">
        <f t="shared" si="1"/>
        <v>22</v>
      </c>
    </row>
    <row r="66" spans="1:50">
      <c r="C66" t="s">
        <v>402</v>
      </c>
    </row>
    <row r="67" spans="1:50">
      <c r="C67" t="s">
        <v>402</v>
      </c>
    </row>
    <row r="68" spans="1:50">
      <c r="C68" t="s">
        <v>402</v>
      </c>
    </row>
    <row r="69" spans="1:50">
      <c r="C69" t="s">
        <v>402</v>
      </c>
    </row>
    <row r="70" spans="1:50">
      <c r="C70" t="s">
        <v>402</v>
      </c>
    </row>
    <row r="71" spans="1:50">
      <c r="C71" t="s">
        <v>402</v>
      </c>
    </row>
    <row r="72" spans="1:50">
      <c r="C72" t="s">
        <v>402</v>
      </c>
    </row>
    <row r="73" spans="1:50">
      <c r="C73" t="s">
        <v>402</v>
      </c>
    </row>
    <row r="74" spans="1:50">
      <c r="C74" t="s">
        <v>402</v>
      </c>
    </row>
    <row r="75" spans="1:50">
      <c r="C75" t="s">
        <v>402</v>
      </c>
    </row>
    <row r="76" spans="1:50">
      <c r="C76" t="s">
        <v>402</v>
      </c>
    </row>
    <row r="77" spans="1:50">
      <c r="C77" t="s">
        <v>402</v>
      </c>
    </row>
    <row r="78" spans="1:50">
      <c r="C78" t="s">
        <v>402</v>
      </c>
    </row>
    <row r="79" spans="1:50">
      <c r="C79" t="s">
        <v>402</v>
      </c>
    </row>
    <row r="80" spans="1:50">
      <c r="C80" t="s">
        <v>402</v>
      </c>
    </row>
    <row r="81" spans="3:3">
      <c r="C81" t="s">
        <v>402</v>
      </c>
    </row>
    <row r="82" spans="3:3">
      <c r="C82" t="s">
        <v>402</v>
      </c>
    </row>
    <row r="83" spans="3:3">
      <c r="C83" t="s">
        <v>402</v>
      </c>
    </row>
    <row r="84" spans="3:3">
      <c r="C84" t="s">
        <v>402</v>
      </c>
    </row>
    <row r="85" spans="3:3">
      <c r="C85" t="s">
        <v>402</v>
      </c>
    </row>
    <row r="86" spans="3:3">
      <c r="C86" t="s">
        <v>402</v>
      </c>
    </row>
    <row r="87" spans="3:3">
      <c r="C87" t="s">
        <v>402</v>
      </c>
    </row>
  </sheetData>
  <mergeCells count="1">
    <mergeCell ref="A65:B6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D0715-2C07-4AB1-8948-D675490DDBD3}">
  <dimension ref="A1:A2"/>
  <sheetViews>
    <sheetView workbookViewId="0">
      <selection activeCell="B7" sqref="B7"/>
    </sheetView>
  </sheetViews>
  <sheetFormatPr defaultRowHeight="20.399999999999999"/>
  <sheetData>
    <row r="1" spans="1:1" ht="28.2">
      <c r="A1" s="2" t="s">
        <v>31</v>
      </c>
    </row>
    <row r="2" spans="1:1">
      <c r="A2" s="4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6BA3E-DFBF-4AB1-8186-358ADEDC01DD}">
  <dimension ref="A2:T95"/>
  <sheetViews>
    <sheetView topLeftCell="A3" zoomScale="90" zoomScaleNormal="90" workbookViewId="0">
      <pane xSplit="3" ySplit="2" topLeftCell="D17" activePane="bottomRight" state="frozen"/>
      <selection activeCell="A3" sqref="A3"/>
      <selection pane="topRight" activeCell="D3" sqref="D3"/>
      <selection pane="bottomLeft" activeCell="A5" sqref="A5"/>
      <selection pane="bottomRight" activeCell="C4" sqref="C4:C64"/>
    </sheetView>
  </sheetViews>
  <sheetFormatPr defaultRowHeight="20.399999999999999"/>
  <cols>
    <col min="1" max="1" width="4.6640625" customWidth="1"/>
    <col min="2" max="2" width="70.796875" style="5" customWidth="1"/>
    <col min="3" max="3" width="8.6640625" style="27"/>
    <col min="4" max="9" width="5.46484375" customWidth="1"/>
    <col min="10" max="17" width="7.33203125" customWidth="1"/>
  </cols>
  <sheetData>
    <row r="2" spans="1:20" ht="21">
      <c r="D2" s="59" t="s">
        <v>40</v>
      </c>
      <c r="E2" s="59"/>
      <c r="F2" s="59"/>
      <c r="G2" s="59"/>
      <c r="H2" s="59"/>
      <c r="I2" s="59"/>
      <c r="J2" s="58" t="s">
        <v>41</v>
      </c>
      <c r="K2" s="58"/>
      <c r="L2" s="58"/>
      <c r="M2" s="58"/>
      <c r="N2" s="58"/>
      <c r="O2" s="58"/>
      <c r="P2" s="58"/>
      <c r="Q2" s="58"/>
      <c r="R2" t="s">
        <v>48</v>
      </c>
    </row>
    <row r="3" spans="1:20" ht="141" customHeight="1">
      <c r="D3" s="29" t="s">
        <v>49</v>
      </c>
      <c r="E3" s="30" t="s">
        <v>50</v>
      </c>
      <c r="F3" s="29" t="s">
        <v>51</v>
      </c>
      <c r="G3" s="30" t="s">
        <v>52</v>
      </c>
      <c r="H3" s="29" t="s">
        <v>53</v>
      </c>
      <c r="I3" s="30" t="s">
        <v>54</v>
      </c>
      <c r="J3" s="31" t="s">
        <v>42</v>
      </c>
      <c r="K3" s="31" t="s">
        <v>43</v>
      </c>
      <c r="L3" s="31" t="s">
        <v>44</v>
      </c>
      <c r="M3" s="31" t="s">
        <v>45</v>
      </c>
      <c r="N3" s="31" t="s">
        <v>46</v>
      </c>
      <c r="O3" s="31" t="s">
        <v>47</v>
      </c>
      <c r="P3" s="31" t="s">
        <v>268</v>
      </c>
      <c r="Q3" s="31" t="s">
        <v>269</v>
      </c>
      <c r="R3" s="26" t="s">
        <v>270</v>
      </c>
      <c r="S3" s="47" t="s">
        <v>271</v>
      </c>
      <c r="T3" s="47" t="s">
        <v>297</v>
      </c>
    </row>
    <row r="4" spans="1:20" ht="21">
      <c r="A4" s="11" t="s">
        <v>17</v>
      </c>
      <c r="B4" s="15" t="s">
        <v>18</v>
      </c>
      <c r="C4" s="34" t="s">
        <v>39</v>
      </c>
      <c r="D4" s="28">
        <f>COUNTIF(D5:D64, TRUE)</f>
        <v>4</v>
      </c>
      <c r="E4" s="28">
        <f t="shared" ref="E4:T4" si="0">COUNTIF(E5:E64, TRUE)</f>
        <v>19</v>
      </c>
      <c r="F4" s="28">
        <f t="shared" si="0"/>
        <v>13</v>
      </c>
      <c r="G4" s="28">
        <f t="shared" si="0"/>
        <v>16</v>
      </c>
      <c r="H4" s="28">
        <f t="shared" si="0"/>
        <v>7</v>
      </c>
      <c r="I4" s="28">
        <f t="shared" si="0"/>
        <v>0</v>
      </c>
      <c r="J4" s="28">
        <f t="shared" si="0"/>
        <v>10</v>
      </c>
      <c r="K4" s="28">
        <f t="shared" si="0"/>
        <v>16</v>
      </c>
      <c r="L4" s="28">
        <f t="shared" si="0"/>
        <v>6</v>
      </c>
      <c r="M4" s="28">
        <f t="shared" si="0"/>
        <v>1</v>
      </c>
      <c r="N4" s="28">
        <f t="shared" si="0"/>
        <v>3</v>
      </c>
      <c r="O4" s="28">
        <f t="shared" si="0"/>
        <v>0</v>
      </c>
      <c r="P4" s="28">
        <f t="shared" si="0"/>
        <v>0</v>
      </c>
      <c r="Q4" s="28">
        <f t="shared" si="0"/>
        <v>0</v>
      </c>
      <c r="R4" s="11">
        <f t="shared" si="0"/>
        <v>17</v>
      </c>
      <c r="S4" s="11">
        <f t="shared" si="0"/>
        <v>1</v>
      </c>
      <c r="T4" s="11">
        <f t="shared" si="0"/>
        <v>6</v>
      </c>
    </row>
    <row r="5" spans="1:20" ht="40.799999999999997">
      <c r="A5" s="17">
        <f>ข้อสอบ!A3</f>
        <v>1</v>
      </c>
      <c r="B5" s="5" t="str">
        <f>ข้อสอบ!B3</f>
        <v>ใน Visual Studio 2022 เมื่อต้องการสร้างโปรเจกต์ใหม่สำหรับแอปพลิเคชัน Windows Forms โดยใช้ภาษา C# ควรเลือก แม่แบบ (เทมเพลต) ใด?</v>
      </c>
      <c r="C5" s="35" t="s">
        <v>29</v>
      </c>
      <c r="D5" s="32" t="b">
        <v>1</v>
      </c>
      <c r="E5" s="32" t="b">
        <v>0</v>
      </c>
      <c r="F5" s="32" t="b">
        <v>0</v>
      </c>
      <c r="G5" s="32" t="b">
        <v>0</v>
      </c>
      <c r="H5" s="32" t="b">
        <v>0</v>
      </c>
      <c r="I5" s="32" t="b">
        <v>0</v>
      </c>
      <c r="J5" s="37" t="b">
        <v>0</v>
      </c>
      <c r="K5" s="37" t="b">
        <v>0</v>
      </c>
      <c r="L5" s="37" t="b">
        <v>1</v>
      </c>
      <c r="M5" s="37" t="b">
        <v>0</v>
      </c>
      <c r="N5" s="37" t="b">
        <v>0</v>
      </c>
      <c r="O5" s="37" t="b">
        <v>0</v>
      </c>
      <c r="P5" s="37" t="b">
        <v>0</v>
      </c>
      <c r="Q5" s="37" t="b">
        <v>0</v>
      </c>
      <c r="R5" s="32" t="b">
        <v>0</v>
      </c>
      <c r="S5" s="32" t="b">
        <v>0</v>
      </c>
      <c r="T5" s="32" t="b">
        <v>0</v>
      </c>
    </row>
    <row r="6" spans="1:20">
      <c r="A6" s="17">
        <f>ข้อสอบ!A4</f>
        <v>2</v>
      </c>
      <c r="B6" s="5" t="str">
        <f>ข้อสอบ!B4</f>
        <v>ใน Visual Studio 2022 การกดปุ่ม F5 ขณะพัฒนาแอปพลิเคชัน Windows Forms มีผลอย่างไร?</v>
      </c>
      <c r="C6" s="35" t="s">
        <v>28</v>
      </c>
      <c r="D6" s="32" t="b">
        <v>0</v>
      </c>
      <c r="E6" s="32" t="b">
        <v>1</v>
      </c>
      <c r="F6" s="32" t="b">
        <v>0</v>
      </c>
      <c r="G6" s="32" t="b">
        <v>0</v>
      </c>
      <c r="H6" s="32" t="b">
        <v>0</v>
      </c>
      <c r="I6" s="32" t="b">
        <v>0</v>
      </c>
      <c r="J6" s="37" t="b">
        <v>0</v>
      </c>
      <c r="K6" s="37" t="b">
        <v>0</v>
      </c>
      <c r="L6" s="37" t="b">
        <v>0</v>
      </c>
      <c r="M6" s="37" t="b">
        <v>0</v>
      </c>
      <c r="N6" s="37" t="b">
        <v>0</v>
      </c>
      <c r="O6" s="37" t="b">
        <v>0</v>
      </c>
      <c r="P6" s="37" t="b">
        <v>0</v>
      </c>
      <c r="Q6" s="37" t="b">
        <v>0</v>
      </c>
      <c r="R6" s="32" t="b">
        <v>1</v>
      </c>
      <c r="S6" s="32" t="b">
        <v>0</v>
      </c>
      <c r="T6" s="32" t="b">
        <v>0</v>
      </c>
    </row>
    <row r="7" spans="1:20">
      <c r="A7" s="17">
        <f>ข้อสอบ!A5</f>
        <v>3</v>
      </c>
      <c r="B7" s="5" t="str">
        <f>ข้อสอบ!B5</f>
        <v>ถ้าต้องการเพิ่ม Button Control ลงในฟอร์มใน Visual Studio 2022 ควรทำอย่างไร?</v>
      </c>
      <c r="C7" s="35" t="s">
        <v>28</v>
      </c>
      <c r="D7" s="32" t="b">
        <v>0</v>
      </c>
      <c r="E7" s="32" t="b">
        <v>1</v>
      </c>
      <c r="F7" s="32" t="b">
        <v>0</v>
      </c>
      <c r="G7" s="32" t="b">
        <v>0</v>
      </c>
      <c r="H7" s="32" t="b">
        <v>0</v>
      </c>
      <c r="I7" s="32" t="b">
        <v>0</v>
      </c>
      <c r="J7" s="37" t="b">
        <v>0</v>
      </c>
      <c r="K7" s="37" t="b">
        <v>0</v>
      </c>
      <c r="L7" s="37" t="b">
        <v>0</v>
      </c>
      <c r="M7" s="37" t="b">
        <v>0</v>
      </c>
      <c r="N7" s="37" t="b">
        <v>0</v>
      </c>
      <c r="O7" s="37" t="b">
        <v>0</v>
      </c>
      <c r="P7" s="37" t="b">
        <v>0</v>
      </c>
      <c r="Q7" s="37" t="b">
        <v>0</v>
      </c>
      <c r="R7" s="32" t="b">
        <v>1</v>
      </c>
      <c r="S7" s="32" t="b">
        <v>0</v>
      </c>
      <c r="T7" s="32" t="b">
        <v>0</v>
      </c>
    </row>
    <row r="8" spans="1:20" ht="61.2">
      <c r="A8" s="17">
        <f>ข้อสอบ!A6</f>
        <v>4</v>
      </c>
      <c r="B8" s="5" t="str">
        <f>ข้อสอบ!B6</f>
        <v>หลังจากเพิ่ม TextBox ชื่อ txtName และ Button ชื่อ btnSubmit ในฟอร์ม นักพัฒนาต้องการให้เมื่อคลิกปุ่ม btnSubmit โปรแกรมแสดงข้อความ "Hello, [ชื่อที่ป้อน]" ใน MessageBox ควรเขียนโค้ดอย่างไร?</v>
      </c>
      <c r="C8" s="35" t="s">
        <v>27</v>
      </c>
      <c r="D8" s="32" t="b">
        <v>0</v>
      </c>
      <c r="E8" s="32" t="b">
        <v>0</v>
      </c>
      <c r="F8" s="32" t="b">
        <v>0</v>
      </c>
      <c r="G8" s="32" t="b">
        <v>1</v>
      </c>
      <c r="H8" s="32" t="b">
        <v>0</v>
      </c>
      <c r="I8" s="32" t="b">
        <v>0</v>
      </c>
      <c r="J8" s="37" t="b">
        <v>0</v>
      </c>
      <c r="K8" s="37" t="b">
        <v>0</v>
      </c>
      <c r="L8" s="37" t="b">
        <v>0</v>
      </c>
      <c r="M8" s="37" t="b">
        <v>0</v>
      </c>
      <c r="N8" s="37" t="b">
        <v>0</v>
      </c>
      <c r="O8" s="37" t="b">
        <v>0</v>
      </c>
      <c r="P8" s="37" t="b">
        <v>0</v>
      </c>
      <c r="Q8" s="37" t="b">
        <v>0</v>
      </c>
      <c r="R8" s="32" t="b">
        <v>1</v>
      </c>
      <c r="S8" s="32" t="b">
        <v>0</v>
      </c>
      <c r="T8" s="32" t="b">
        <v>0</v>
      </c>
    </row>
    <row r="9" spans="1:20" ht="40.799999999999997">
      <c r="A9" s="17">
        <f>ข้อสอบ!A7</f>
        <v>5</v>
      </c>
      <c r="B9" s="5" t="str">
        <f>ข้อสอบ!B7</f>
        <v>นักพัฒนาต้องการตรวจสอบว่าค่าในตัวแปร count ถูกอัปเดตอย่างถูกต้องขณะรันโปรแกรมในโหมด Debug วิธีใดเหมาะสมที่สุด?</v>
      </c>
      <c r="C9" s="35" t="s">
        <v>28</v>
      </c>
      <c r="D9" s="32" t="b">
        <v>0</v>
      </c>
      <c r="E9" s="32" t="b">
        <v>0</v>
      </c>
      <c r="F9" s="32" t="b">
        <v>0</v>
      </c>
      <c r="G9" s="32" t="b">
        <v>0</v>
      </c>
      <c r="H9" s="32" t="b">
        <v>1</v>
      </c>
      <c r="I9" s="32" t="b">
        <v>0</v>
      </c>
      <c r="J9" s="37" t="b">
        <v>0</v>
      </c>
      <c r="K9" s="37" t="b">
        <v>0</v>
      </c>
      <c r="L9" s="37" t="b">
        <v>0</v>
      </c>
      <c r="M9" s="37" t="b">
        <v>0</v>
      </c>
      <c r="N9" s="37" t="b">
        <v>0</v>
      </c>
      <c r="O9" s="37" t="b">
        <v>0</v>
      </c>
      <c r="P9" s="37" t="b">
        <v>0</v>
      </c>
      <c r="Q9" s="37" t="b">
        <v>0</v>
      </c>
      <c r="R9" s="32" t="b">
        <v>1</v>
      </c>
      <c r="S9" s="32" t="b">
        <v>0</v>
      </c>
      <c r="T9" s="32" t="b">
        <v>0</v>
      </c>
    </row>
    <row r="10" spans="1:20" ht="40.799999999999997">
      <c r="A10" s="17">
        <f>ข้อสอบ!A8</f>
        <v>6</v>
      </c>
      <c r="B10" s="5" t="str">
        <f>ข้อสอบ!B8</f>
        <v>ในภาษา C# คีย์เวิร์ดใดใช้สำหรับประกาศตัวแปรที่เก็บค่าจำนวนเต็มแบบมีเครื่องหมายขนาด 32 บิต?</v>
      </c>
      <c r="C10" s="35" t="s">
        <v>29</v>
      </c>
      <c r="D10" s="32" t="b">
        <v>0</v>
      </c>
      <c r="E10" s="32" t="b">
        <v>1</v>
      </c>
      <c r="F10" s="32" t="b">
        <v>0</v>
      </c>
      <c r="G10" s="32" t="b">
        <v>0</v>
      </c>
      <c r="H10" s="32" t="b">
        <v>0</v>
      </c>
      <c r="I10" s="32" t="b">
        <v>0</v>
      </c>
      <c r="J10" s="37" t="b">
        <v>0</v>
      </c>
      <c r="K10" s="37" t="b">
        <v>0</v>
      </c>
      <c r="L10" s="37" t="b">
        <v>0</v>
      </c>
      <c r="M10" s="37" t="b">
        <v>0</v>
      </c>
      <c r="N10" s="37" t="b">
        <v>0</v>
      </c>
      <c r="O10" s="37" t="b">
        <v>0</v>
      </c>
      <c r="P10" s="37" t="b">
        <v>0</v>
      </c>
      <c r="Q10" s="37" t="b">
        <v>0</v>
      </c>
      <c r="R10" s="32" t="b">
        <v>1</v>
      </c>
      <c r="S10" s="32" t="b">
        <v>0</v>
      </c>
      <c r="T10" s="32" t="b">
        <v>0</v>
      </c>
    </row>
    <row r="11" spans="1:20">
      <c r="A11" s="17">
        <f>ข้อสอบ!A9</f>
        <v>7</v>
      </c>
      <c r="B11" s="5" t="str">
        <f>ข้อสอบ!B9</f>
        <v>ข้อใดคือการประกาศตัวแปรและกำหนดค่าเริ่มต้นที่ถูกต้องในภาษา C#?</v>
      </c>
      <c r="C11" s="35" t="s">
        <v>29</v>
      </c>
      <c r="D11" s="32" t="b">
        <v>0</v>
      </c>
      <c r="E11" s="32" t="b">
        <v>1</v>
      </c>
      <c r="F11" s="32" t="b">
        <v>0</v>
      </c>
      <c r="G11" s="32" t="b">
        <v>0</v>
      </c>
      <c r="H11" s="32" t="b">
        <v>0</v>
      </c>
      <c r="I11" s="32" t="b">
        <v>0</v>
      </c>
      <c r="J11" s="37" t="b">
        <v>0</v>
      </c>
      <c r="K11" s="37" t="b">
        <v>0</v>
      </c>
      <c r="L11" s="37" t="b">
        <v>0</v>
      </c>
      <c r="M11" s="37" t="b">
        <v>0</v>
      </c>
      <c r="N11" s="37" t="b">
        <v>0</v>
      </c>
      <c r="O11" s="37" t="b">
        <v>0</v>
      </c>
      <c r="P11" s="37" t="b">
        <v>0</v>
      </c>
      <c r="Q11" s="37" t="b">
        <v>0</v>
      </c>
      <c r="R11" s="32" t="b">
        <v>1</v>
      </c>
      <c r="S11" s="32" t="b">
        <v>0</v>
      </c>
      <c r="T11" s="32" t="b">
        <v>0</v>
      </c>
    </row>
    <row r="12" spans="1:20" ht="81.599999999999994">
      <c r="A12" s="17">
        <f>ข้อสอบ!A10</f>
        <v>8</v>
      </c>
      <c r="B12" s="5" t="str">
        <f>ข้อสอบ!B10</f>
        <v>จากโค้ดต่อไปนี้ ผลลัพธ์ที่ได้คืออะไร?
  string message = "Hello";
  message += " World";
  Console.WriteLine(message.Length);</v>
      </c>
      <c r="C12" s="35" t="s">
        <v>29</v>
      </c>
      <c r="D12" s="32" t="b">
        <v>0</v>
      </c>
      <c r="E12" s="32" t="b">
        <v>0</v>
      </c>
      <c r="F12" s="32" t="b">
        <v>0</v>
      </c>
      <c r="G12" s="32" t="b">
        <v>1</v>
      </c>
      <c r="H12" s="32" t="b">
        <v>0</v>
      </c>
      <c r="I12" s="32" t="b">
        <v>0</v>
      </c>
      <c r="J12" s="37" t="b">
        <v>0</v>
      </c>
      <c r="K12" s="37" t="b">
        <v>0</v>
      </c>
      <c r="L12" s="37" t="b">
        <v>0</v>
      </c>
      <c r="M12" s="37" t="b">
        <v>0</v>
      </c>
      <c r="N12" s="37" t="b">
        <v>0</v>
      </c>
      <c r="O12" s="37" t="b">
        <v>0</v>
      </c>
      <c r="P12" s="37" t="b">
        <v>0</v>
      </c>
      <c r="Q12" s="37" t="b">
        <v>0</v>
      </c>
      <c r="R12" s="32" t="b">
        <v>1</v>
      </c>
      <c r="S12" s="32" t="b">
        <v>0</v>
      </c>
      <c r="T12" s="32" t="b">
        <v>0</v>
      </c>
    </row>
    <row r="13" spans="1:20">
      <c r="A13" s="17">
        <f>ข้อสอบ!A11</f>
        <v>9</v>
      </c>
      <c r="B13" s="5" t="str">
        <f>ข้อสอบ!B11</f>
        <v>ข้อใดคือวิธีที่ดีที่สุดในการตรวจสอบว่าสตริง input เป็นค่าว่างหรือไม่?</v>
      </c>
      <c r="C13" s="35" t="s">
        <v>29</v>
      </c>
      <c r="D13" s="32" t="b">
        <v>0</v>
      </c>
      <c r="E13" s="32" t="b">
        <v>0</v>
      </c>
      <c r="F13" s="32" t="b">
        <v>0</v>
      </c>
      <c r="G13" s="32" t="b">
        <v>0</v>
      </c>
      <c r="H13" s="32" t="b">
        <v>1</v>
      </c>
      <c r="I13" s="32" t="b">
        <v>0</v>
      </c>
      <c r="J13" s="37" t="b">
        <v>0</v>
      </c>
      <c r="K13" s="37" t="b">
        <v>0</v>
      </c>
      <c r="L13" s="37" t="b">
        <v>0</v>
      </c>
      <c r="M13" s="37" t="b">
        <v>0</v>
      </c>
      <c r="N13" s="37" t="b">
        <v>0</v>
      </c>
      <c r="O13" s="37" t="b">
        <v>0</v>
      </c>
      <c r="P13" s="37" t="b">
        <v>0</v>
      </c>
      <c r="Q13" s="37" t="b">
        <v>0</v>
      </c>
      <c r="R13" s="32" t="b">
        <v>1</v>
      </c>
      <c r="S13" s="32" t="b">
        <v>0</v>
      </c>
      <c r="T13" s="32" t="b">
        <v>0</v>
      </c>
    </row>
    <row r="14" spans="1:20" ht="102">
      <c r="A14" s="17">
        <f>ข้อสอบ!A12</f>
        <v>10</v>
      </c>
      <c r="B14" s="5" t="str">
        <f>ข้อสอบ!B12</f>
        <v>จากโค้ดต่อไปนี้ ข้อใดคือผลลัพธ์และเหตุผลที่ถูกต้อง?
int a = 10;
int b = 3;
double result = a / b;
Console.WriteLine(result);</v>
      </c>
      <c r="C14" s="35" t="s">
        <v>28</v>
      </c>
      <c r="D14" s="32" t="b">
        <v>0</v>
      </c>
      <c r="E14" s="32" t="b">
        <v>0</v>
      </c>
      <c r="F14" s="32" t="b">
        <v>0</v>
      </c>
      <c r="G14" s="32" t="b">
        <v>0</v>
      </c>
      <c r="H14" s="32" t="b">
        <v>1</v>
      </c>
      <c r="I14" s="32" t="b">
        <v>0</v>
      </c>
      <c r="J14" s="37" t="b">
        <v>0</v>
      </c>
      <c r="K14" s="37" t="b">
        <v>0</v>
      </c>
      <c r="L14" s="37" t="b">
        <v>0</v>
      </c>
      <c r="M14" s="37" t="b">
        <v>0</v>
      </c>
      <c r="N14" s="37" t="b">
        <v>0</v>
      </c>
      <c r="O14" s="37" t="b">
        <v>0</v>
      </c>
      <c r="P14" s="37" t="b">
        <v>0</v>
      </c>
      <c r="Q14" s="37" t="b">
        <v>0</v>
      </c>
      <c r="R14" s="32" t="b">
        <v>1</v>
      </c>
      <c r="S14" s="32" t="b">
        <v>0</v>
      </c>
      <c r="T14" s="32" t="b">
        <v>0</v>
      </c>
    </row>
    <row r="15" spans="1:20" ht="40.799999999999997">
      <c r="A15" s="17">
        <f>ข้อสอบ!A13</f>
        <v>11</v>
      </c>
      <c r="B15" s="5" t="str">
        <f>ข้อสอบ!B13</f>
        <v>ขั้นตอนใดใน SDLC ที่เกี่ยวข้องกับการวิเคราะห์ความต้องการของผู้ใช้และกำหนดขอบเขตของระบบ?</v>
      </c>
      <c r="C15" s="35" t="s">
        <v>29</v>
      </c>
      <c r="D15" s="32" t="b">
        <v>0</v>
      </c>
      <c r="E15" s="32" t="b">
        <v>1</v>
      </c>
      <c r="F15" s="32" t="b">
        <v>0</v>
      </c>
      <c r="G15" s="32" t="b">
        <v>0</v>
      </c>
      <c r="H15" s="32" t="b">
        <v>0</v>
      </c>
      <c r="I15" s="32" t="b">
        <v>0</v>
      </c>
      <c r="J15" s="37" t="b">
        <v>1</v>
      </c>
      <c r="K15" s="37" t="b">
        <v>0</v>
      </c>
      <c r="L15" s="37" t="b">
        <v>0</v>
      </c>
      <c r="M15" s="37" t="b">
        <v>0</v>
      </c>
      <c r="N15" s="37" t="b">
        <v>0</v>
      </c>
      <c r="O15" s="37" t="b">
        <v>0</v>
      </c>
      <c r="P15" s="37" t="b">
        <v>0</v>
      </c>
      <c r="Q15" s="37" t="b">
        <v>0</v>
      </c>
      <c r="R15" s="32" t="b">
        <v>0</v>
      </c>
      <c r="S15" s="32" t="b">
        <v>0</v>
      </c>
      <c r="T15" s="32" t="b">
        <v>0</v>
      </c>
    </row>
    <row r="16" spans="1:20">
      <c r="A16" s="17">
        <f>ข้อสอบ!A14</f>
        <v>12</v>
      </c>
      <c r="B16" s="5" t="str">
        <f>ข้อสอบ!B14</f>
        <v xml:space="preserve"> หากองค์กรอยู่ใน CMMI Level 3 (Defined) ข้อใดสะท้อนลักษณะการทำงานได้ถูกต้องที่สุด?</v>
      </c>
      <c r="C16" s="35" t="s">
        <v>27</v>
      </c>
      <c r="D16" s="32" t="b">
        <v>0</v>
      </c>
      <c r="E16" s="32" t="b">
        <v>0</v>
      </c>
      <c r="F16" s="32" t="b">
        <v>0</v>
      </c>
      <c r="G16" s="32" t="b">
        <v>1</v>
      </c>
      <c r="H16" s="32" t="b">
        <v>0</v>
      </c>
      <c r="I16" s="32" t="b">
        <v>0</v>
      </c>
      <c r="J16" s="37" t="b">
        <v>1</v>
      </c>
      <c r="K16" s="37" t="b">
        <v>0</v>
      </c>
      <c r="L16" s="37" t="b">
        <v>0</v>
      </c>
      <c r="M16" s="37" t="b">
        <v>0</v>
      </c>
      <c r="N16" s="37" t="b">
        <v>0</v>
      </c>
      <c r="O16" s="37" t="b">
        <v>0</v>
      </c>
      <c r="P16" s="37" t="b">
        <v>0</v>
      </c>
      <c r="Q16" s="37" t="b">
        <v>0</v>
      </c>
      <c r="R16" s="32" t="b">
        <v>0</v>
      </c>
      <c r="S16" s="32" t="b">
        <v>0</v>
      </c>
      <c r="T16" s="32" t="b">
        <v>0</v>
      </c>
    </row>
    <row r="17" spans="1:20" ht="81.599999999999994">
      <c r="A17" s="17">
        <f>ข้อสอบ!A15</f>
        <v>13</v>
      </c>
      <c r="B17" s="5" t="str">
        <f>ข้อสอบ!B15</f>
        <v>จากโค้ดต่อไปนี้ วิธีใดคือการจัดการหน่วยความจำที่มีประสิทธิภาพที่สุด หากต้องการสตริงที่สามารถแก้ไขได้หลายครั้ง?
  string data = "Initial";
  // แก้ไขสตริงหลายครั้ง (เช่น ต่อข้อความหรือลบบางส่วน)</v>
      </c>
      <c r="C17" s="35" t="s">
        <v>28</v>
      </c>
      <c r="D17" s="32" t="b">
        <v>0</v>
      </c>
      <c r="E17" s="32" t="b">
        <v>0</v>
      </c>
      <c r="F17" s="32" t="b">
        <v>0</v>
      </c>
      <c r="G17" s="32" t="b">
        <v>0</v>
      </c>
      <c r="H17" s="32" t="b">
        <v>1</v>
      </c>
      <c r="I17" s="32" t="b">
        <v>0</v>
      </c>
      <c r="J17" s="37" t="b">
        <v>0</v>
      </c>
      <c r="K17" s="37" t="b">
        <v>0</v>
      </c>
      <c r="L17" s="37" t="b">
        <v>0</v>
      </c>
      <c r="M17" s="37" t="b">
        <v>0</v>
      </c>
      <c r="N17" s="37" t="b">
        <v>0</v>
      </c>
      <c r="O17" s="37" t="b">
        <v>0</v>
      </c>
      <c r="P17" s="37" t="b">
        <v>0</v>
      </c>
      <c r="Q17" s="37" t="b">
        <v>0</v>
      </c>
      <c r="R17" s="32" t="b">
        <v>1</v>
      </c>
      <c r="S17" s="32" t="b">
        <v>0</v>
      </c>
      <c r="T17" s="32" t="b">
        <v>0</v>
      </c>
    </row>
    <row r="18" spans="1:20" ht="40.799999999999997">
      <c r="A18" s="17">
        <f>ข้อสอบ!A16</f>
        <v>14</v>
      </c>
      <c r="B18" s="5" t="str">
        <f>ข้อสอบ!B16</f>
        <v>สัญลักษณ์ใดใน Activity Diagram ที่ใช้แทนการตัดสินใจ (Decision) และมีเส้นทางออกได้หลายทาง?</v>
      </c>
      <c r="C18" s="40" t="s">
        <v>30</v>
      </c>
      <c r="D18" s="32" t="b">
        <v>1</v>
      </c>
      <c r="E18" s="32" t="b">
        <v>0</v>
      </c>
      <c r="F18" s="32" t="b">
        <v>0</v>
      </c>
      <c r="G18" s="32" t="b">
        <v>0</v>
      </c>
      <c r="H18" s="32" t="b">
        <v>0</v>
      </c>
      <c r="I18" s="32" t="b">
        <v>0</v>
      </c>
      <c r="J18" s="37" t="b">
        <v>0</v>
      </c>
      <c r="K18" s="37" t="b">
        <v>1</v>
      </c>
      <c r="L18" s="37" t="b">
        <v>0</v>
      </c>
      <c r="M18" s="37" t="b">
        <v>0</v>
      </c>
      <c r="N18" s="37" t="b">
        <v>0</v>
      </c>
      <c r="O18" s="37" t="b">
        <v>0</v>
      </c>
      <c r="P18" s="37" t="b">
        <v>0</v>
      </c>
      <c r="Q18" s="37" t="b">
        <v>0</v>
      </c>
      <c r="R18" s="32" t="b">
        <v>0</v>
      </c>
      <c r="S18" s="32" t="b">
        <v>0</v>
      </c>
      <c r="T18" s="32" t="b">
        <v>0</v>
      </c>
    </row>
    <row r="19" spans="1:20" ht="183.6">
      <c r="A19" s="17">
        <f>ข้อสอบ!A17</f>
        <v>15</v>
      </c>
      <c r="B19" s="5" t="str">
        <f>ข้อสอบ!B17</f>
        <v>จากกระบวนการลงทะเบียนผู้ใช้ต่อไปนี้ ข้อใดสะท้อนการออกแบบ Activity Diagram ที่เหมาะสมที่สุด?
1.เริ่มต้น
2.กรอกแบบฟอร์ม
3.ตรวจสอบความถูกต้องของข้อมูล
   - หากข้อมูลถูกต้อง: บันทึกข้อมูล
   - หากข้อมูลไม่ถูกต้อง: แจ้งข้อผิดพลาดและกลับไปกรอกใหม่
4.ส่งอีเมลยืนยัน
5.จบกระบวนการ</v>
      </c>
      <c r="C19" s="35" t="s">
        <v>28</v>
      </c>
      <c r="D19" s="32" t="b">
        <v>0</v>
      </c>
      <c r="E19" s="32" t="b">
        <v>0</v>
      </c>
      <c r="F19" s="32" t="b">
        <v>0</v>
      </c>
      <c r="G19" s="32" t="b">
        <v>0</v>
      </c>
      <c r="H19" s="32" t="b">
        <v>1</v>
      </c>
      <c r="I19" s="32" t="b">
        <v>0</v>
      </c>
      <c r="J19" s="37" t="b">
        <v>0</v>
      </c>
      <c r="K19" s="37" t="b">
        <v>1</v>
      </c>
      <c r="L19" s="37" t="b">
        <v>0</v>
      </c>
      <c r="M19" s="37" t="b">
        <v>0</v>
      </c>
      <c r="N19" s="37" t="b">
        <v>0</v>
      </c>
      <c r="O19" s="37" t="b">
        <v>0</v>
      </c>
      <c r="P19" s="37" t="b">
        <v>0</v>
      </c>
      <c r="Q19" s="37" t="b">
        <v>0</v>
      </c>
      <c r="R19" s="32" t="b">
        <v>0</v>
      </c>
      <c r="S19" s="32" t="b">
        <v>0</v>
      </c>
      <c r="T19" s="32" t="b">
        <v>0</v>
      </c>
    </row>
    <row r="20" spans="1:20" ht="102">
      <c r="A20" s="17">
        <f>ข้อสอบ!A18</f>
        <v>16</v>
      </c>
      <c r="B20" s="5" t="str">
        <f>ข้อสอบ!B18</f>
        <v>จากระบบ ATM ต่อไปนี้ ข้อใดเป็นการออกแบบ Use Case Diagram ที่เหมาะสมที่สุด?
ความต้องการ:
1.ผู้ใช้ (Actor: Customer) สามารถทำธุรกรรมถอนเงินและตรวจสอบยอดเงิน
2.การถอนเงินต้องมีการตรวจสอบ PIN ก่อนเสมอ
3.เจ้าหน้าที่ธนาคาร (Actor: Bank Staff) สามารถเติมเงินในเครื่องได้</v>
      </c>
      <c r="C20" s="35" t="s">
        <v>28</v>
      </c>
      <c r="D20" s="32" t="b">
        <v>0</v>
      </c>
      <c r="E20" s="32" t="b">
        <v>0</v>
      </c>
      <c r="F20" s="32" t="b">
        <v>0</v>
      </c>
      <c r="G20" s="32" t="b">
        <v>0</v>
      </c>
      <c r="H20" s="32" t="b">
        <v>1</v>
      </c>
      <c r="I20" s="32" t="b">
        <v>0</v>
      </c>
      <c r="J20" s="37" t="b">
        <v>0</v>
      </c>
      <c r="K20" s="37" t="b">
        <v>1</v>
      </c>
      <c r="L20" s="37" t="b">
        <v>0</v>
      </c>
      <c r="M20" s="37" t="b">
        <v>0</v>
      </c>
      <c r="N20" s="37" t="b">
        <v>0</v>
      </c>
      <c r="O20" s="37" t="b">
        <v>0</v>
      </c>
      <c r="P20" s="37" t="b">
        <v>0</v>
      </c>
      <c r="Q20" s="37" t="b">
        <v>0</v>
      </c>
      <c r="R20" s="32" t="b">
        <v>0</v>
      </c>
      <c r="S20" s="32" t="b">
        <v>0</v>
      </c>
      <c r="T20" s="32" t="b">
        <v>0</v>
      </c>
    </row>
    <row r="21" spans="1:20" ht="40.799999999999997">
      <c r="A21" s="17">
        <f>ข้อสอบ!A19</f>
        <v>17</v>
      </c>
      <c r="B21" s="5" t="str">
        <f>ข้อสอบ!B19</f>
        <v>จากผลการสำรวจผู้ใช้ระบบจองห้องพัก พบว่า 70% ของผู้ใช้ไม่พอใจขั้นตอนการชำระเงินที่ซับซ้อน ข้อใดคือแนวทางการแก้ไขปัญหาที่เหมาะสมที่สุด?</v>
      </c>
      <c r="C21" s="35" t="s">
        <v>28</v>
      </c>
      <c r="D21" s="32" t="b">
        <v>0</v>
      </c>
      <c r="E21" s="32" t="b">
        <v>0</v>
      </c>
      <c r="F21" s="32" t="b">
        <v>0</v>
      </c>
      <c r="G21" s="32" t="b">
        <v>1</v>
      </c>
      <c r="H21" s="32" t="b">
        <v>0</v>
      </c>
      <c r="I21" s="32" t="b">
        <v>0</v>
      </c>
      <c r="J21" s="37" t="b">
        <v>0</v>
      </c>
      <c r="K21" s="37" t="b">
        <v>1</v>
      </c>
      <c r="L21" s="37" t="b">
        <v>0</v>
      </c>
      <c r="M21" s="37" t="b">
        <v>0</v>
      </c>
      <c r="N21" s="37" t="b">
        <v>0</v>
      </c>
      <c r="O21" s="37" t="b">
        <v>0</v>
      </c>
      <c r="P21" s="37" t="b">
        <v>0</v>
      </c>
      <c r="Q21" s="37" t="b">
        <v>0</v>
      </c>
      <c r="R21" s="32" t="b">
        <v>0</v>
      </c>
      <c r="S21" s="32" t="b">
        <v>0</v>
      </c>
      <c r="T21" s="32" t="b">
        <v>0</v>
      </c>
    </row>
    <row r="22" spans="1:20">
      <c r="A22" s="17">
        <f>ข้อสอบ!A20</f>
        <v>18</v>
      </c>
      <c r="B22" s="5" t="str">
        <f>ข้อสอบ!B20</f>
        <v>ตามหลัก Hungarian Notation ในการเขียนโค้ด ตัวแปรชื่อ strUserName ควรมีข้อมูลประเภทใด?</v>
      </c>
      <c r="C22" s="35" t="s">
        <v>28</v>
      </c>
      <c r="D22" s="32" t="b">
        <v>0</v>
      </c>
      <c r="E22" s="32" t="b">
        <v>1</v>
      </c>
      <c r="F22" s="32" t="b">
        <v>0</v>
      </c>
      <c r="G22" s="32" t="b">
        <v>0</v>
      </c>
      <c r="H22" s="32" t="b">
        <v>0</v>
      </c>
      <c r="I22" s="32" t="b">
        <v>0</v>
      </c>
      <c r="J22" s="37" t="b">
        <v>0</v>
      </c>
      <c r="K22" s="37" t="b">
        <v>0</v>
      </c>
      <c r="L22" s="37" t="b">
        <v>1</v>
      </c>
      <c r="M22" s="37" t="b">
        <v>0</v>
      </c>
      <c r="N22" s="37" t="b">
        <v>0</v>
      </c>
      <c r="O22" s="37" t="b">
        <v>0</v>
      </c>
      <c r="P22" s="37" t="b">
        <v>0</v>
      </c>
      <c r="Q22" s="37" t="b">
        <v>0</v>
      </c>
      <c r="R22" s="32" t="b">
        <v>0</v>
      </c>
      <c r="S22" s="32" t="b">
        <v>0</v>
      </c>
      <c r="T22" s="32" t="b">
        <v>0</v>
      </c>
    </row>
    <row r="23" spans="1:20" ht="102">
      <c r="A23" s="17">
        <f>ข้อสอบ!A21</f>
        <v>19</v>
      </c>
      <c r="B23" s="5" t="str">
        <f>ข้อสอบ!B21</f>
        <v>จากโค้ด C# ต่อไปนี้ ข้อใดเป็นปัญหาตามหลักมาตรฐานการเขียนโค้ดที่ดีที่สุด?
public void CalculateTotal(int p1, int p2) {
    int x = p1 + p2;
    Console.WriteLine(x);
}</v>
      </c>
      <c r="C23" s="35" t="s">
        <v>27</v>
      </c>
      <c r="D23" s="32" t="b">
        <v>0</v>
      </c>
      <c r="E23" s="32" t="b">
        <v>0</v>
      </c>
      <c r="F23" s="32" t="b">
        <v>0</v>
      </c>
      <c r="G23" s="32" t="b">
        <v>1</v>
      </c>
      <c r="H23" s="32" t="b">
        <v>0</v>
      </c>
      <c r="I23" s="32" t="b">
        <v>0</v>
      </c>
      <c r="J23" s="37" t="b">
        <v>0</v>
      </c>
      <c r="K23" s="37" t="b">
        <v>0</v>
      </c>
      <c r="L23" s="37" t="b">
        <v>1</v>
      </c>
      <c r="M23" s="37" t="b">
        <v>0</v>
      </c>
      <c r="N23" s="37" t="b">
        <v>0</v>
      </c>
      <c r="O23" s="37" t="b">
        <v>0</v>
      </c>
      <c r="P23" s="37" t="b">
        <v>0</v>
      </c>
      <c r="Q23" s="37" t="b">
        <v>0</v>
      </c>
      <c r="R23" s="32" t="b">
        <v>0</v>
      </c>
      <c r="S23" s="32" t="b">
        <v>0</v>
      </c>
      <c r="T23" s="32" t="b">
        <v>0</v>
      </c>
    </row>
    <row r="24" spans="1:20" ht="40.799999999999997">
      <c r="A24" s="17">
        <f>ข้อสอบ!A22</f>
        <v>20</v>
      </c>
      <c r="B24" s="5" t="str">
        <f>ข้อสอบ!B22</f>
        <v xml:space="preserve">หลักการสำคัญของ Defensive Coding คืออะไร?
</v>
      </c>
      <c r="C24" s="35" t="s">
        <v>28</v>
      </c>
      <c r="D24" s="32" t="b">
        <v>0</v>
      </c>
      <c r="E24" s="32" t="b">
        <v>1</v>
      </c>
      <c r="F24" s="32" t="b">
        <v>0</v>
      </c>
      <c r="G24" s="32" t="b">
        <v>0</v>
      </c>
      <c r="H24" s="32" t="b">
        <v>0</v>
      </c>
      <c r="I24" s="32" t="b">
        <v>0</v>
      </c>
      <c r="J24" s="37" t="b">
        <v>0</v>
      </c>
      <c r="K24" s="37" t="b">
        <v>0</v>
      </c>
      <c r="L24" s="37" t="b">
        <v>1</v>
      </c>
      <c r="M24" s="37" t="b">
        <v>0</v>
      </c>
      <c r="N24" s="37" t="b">
        <v>0</v>
      </c>
      <c r="O24" s="37" t="b">
        <v>0</v>
      </c>
      <c r="P24" s="37" t="b">
        <v>0</v>
      </c>
      <c r="Q24" s="37" t="b">
        <v>0</v>
      </c>
      <c r="R24" s="32" t="b">
        <v>0</v>
      </c>
      <c r="S24" s="32" t="b">
        <v>0</v>
      </c>
      <c r="T24" s="32" t="b">
        <v>0</v>
      </c>
    </row>
    <row r="25" spans="1:20" ht="142.80000000000001">
      <c r="A25" s="17">
        <f>ข้อสอบ!A23</f>
        <v>21</v>
      </c>
      <c r="B25" s="5" t="str">
        <f>ข้อสอบ!B23</f>
        <v>จากโค้ด C# ต่อไปนี้ ข้อใดเป็นวิธีป้องกันที่ดีที่สุดสำหรับการรับ input จากผู้ใช้?
public int GetUserAge() {
    Console.Write("Enter your age: ");
    string input = Console.ReadLine();
    // ส่วนที่ควรเพิ่ม Defensive Coding
    return int.Parse(input);
}</v>
      </c>
      <c r="C25" s="35" t="s">
        <v>28</v>
      </c>
      <c r="D25" s="32" t="b">
        <v>0</v>
      </c>
      <c r="E25" s="32" t="b">
        <v>0</v>
      </c>
      <c r="F25" s="32" t="b">
        <v>0</v>
      </c>
      <c r="G25" s="32" t="b">
        <v>1</v>
      </c>
      <c r="H25" s="32" t="b">
        <v>0</v>
      </c>
      <c r="I25" s="32" t="b">
        <v>0</v>
      </c>
      <c r="J25" s="37" t="b">
        <v>0</v>
      </c>
      <c r="K25" s="37" t="b">
        <v>0</v>
      </c>
      <c r="L25" s="37" t="b">
        <v>0</v>
      </c>
      <c r="M25" s="37" t="b">
        <v>0</v>
      </c>
      <c r="N25" s="37" t="b">
        <v>0</v>
      </c>
      <c r="O25" s="37" t="b">
        <v>0</v>
      </c>
      <c r="P25" s="37" t="b">
        <v>0</v>
      </c>
      <c r="Q25" s="37" t="b">
        <v>0</v>
      </c>
      <c r="R25" s="32" t="b">
        <v>1</v>
      </c>
      <c r="S25" s="32" t="b">
        <v>0</v>
      </c>
      <c r="T25" s="32" t="b">
        <v>0</v>
      </c>
    </row>
    <row r="26" spans="1:20">
      <c r="A26" s="17">
        <f>ข้อสอบ!A24</f>
        <v>22</v>
      </c>
      <c r="B26" s="5" t="str">
        <f>ข้อสอบ!B24</f>
        <v>Story Board ใน Agile มีวัตถุประสงค์หลักเพื่ออะไร?</v>
      </c>
      <c r="C26" s="35" t="s">
        <v>28</v>
      </c>
      <c r="D26" s="32" t="b">
        <v>0</v>
      </c>
      <c r="E26" s="32" t="b">
        <v>1</v>
      </c>
      <c r="F26" s="32" t="b">
        <v>0</v>
      </c>
      <c r="G26" s="32" t="b">
        <v>0</v>
      </c>
      <c r="H26" s="32" t="b">
        <v>0</v>
      </c>
      <c r="I26" s="32" t="b">
        <v>0</v>
      </c>
      <c r="J26" s="37" t="b">
        <v>1</v>
      </c>
      <c r="K26" s="37" t="b">
        <v>0</v>
      </c>
      <c r="L26" s="37" t="b">
        <v>0</v>
      </c>
      <c r="M26" s="37" t="b">
        <v>0</v>
      </c>
      <c r="N26" s="37" t="b">
        <v>0</v>
      </c>
      <c r="O26" s="37" t="b">
        <v>0</v>
      </c>
      <c r="P26" s="37" t="b">
        <v>0</v>
      </c>
      <c r="Q26" s="37" t="b">
        <v>0</v>
      </c>
      <c r="R26" s="32" t="b">
        <v>0</v>
      </c>
      <c r="S26" s="32" t="b">
        <v>0</v>
      </c>
      <c r="T26" s="32" t="b">
        <v>0</v>
      </c>
    </row>
    <row r="27" spans="1:20" ht="122.4">
      <c r="A27" s="17">
        <f>ข้อสอบ!A25</f>
        <v>23</v>
      </c>
      <c r="B27" s="5" t="str">
        <f>ข้อสอบ!B25</f>
        <v>จาก Burndown Chart ต่อไปนี้ ข้อใดสะท้อนสถานการณ์ของทีมได้ถูกต้องที่สุด?
ข้อมูล:
- แกน X: ระยะเวลาใน Sprint (วัน)
- แกน Y: จำนวนงานคงเหลือ (Story Points)
- เส้นแนวโน้ม: ลดลงอย่างสม่ำเสมอจนเป็น 0 ในวันสุดท้ายของ Sprint
- เส้นจริง: ลดลงช้ากว่าเส้นแนวโน้มในช่วงแรก แต่เร็วขึ้นช่วงปลาย Sprint</v>
      </c>
      <c r="C27" s="35" t="s">
        <v>27</v>
      </c>
      <c r="D27" s="32" t="b">
        <v>0</v>
      </c>
      <c r="E27" s="32" t="b">
        <v>0</v>
      </c>
      <c r="F27" s="32" t="b">
        <v>0</v>
      </c>
      <c r="G27" s="32" t="b">
        <v>1</v>
      </c>
      <c r="H27" s="32" t="b">
        <v>0</v>
      </c>
      <c r="I27" s="32" t="b">
        <v>0</v>
      </c>
      <c r="J27" s="37" t="b">
        <v>1</v>
      </c>
      <c r="K27" s="37" t="b">
        <v>0</v>
      </c>
      <c r="L27" s="37" t="b">
        <v>0</v>
      </c>
      <c r="M27" s="37" t="b">
        <v>0</v>
      </c>
      <c r="N27" s="37" t="b">
        <v>0</v>
      </c>
      <c r="O27" s="37" t="b">
        <v>0</v>
      </c>
      <c r="P27" s="37" t="b">
        <v>0</v>
      </c>
      <c r="Q27" s="37" t="b">
        <v>0</v>
      </c>
      <c r="R27" s="32" t="b">
        <v>0</v>
      </c>
      <c r="S27" s="32" t="b">
        <v>0</v>
      </c>
      <c r="T27" s="32" t="b">
        <v>0</v>
      </c>
    </row>
    <row r="28" spans="1:20">
      <c r="A28" s="17">
        <f>ข้อสอบ!A26</f>
        <v>24</v>
      </c>
      <c r="B28" s="5" t="str">
        <f>ข้อสอบ!B26</f>
        <v>ข้อใดคือคุณสมบัติสำคัญของแบบจำลอง Spiral ที่เหมาะสำหรับโครงการที่มีความเสี่ยงสูง?</v>
      </c>
      <c r="C28" s="35" t="s">
        <v>28</v>
      </c>
      <c r="D28" s="32" t="b">
        <v>1</v>
      </c>
      <c r="E28" s="32" t="b">
        <v>0</v>
      </c>
      <c r="F28" s="32" t="b">
        <v>0</v>
      </c>
      <c r="G28" s="32" t="b">
        <v>0</v>
      </c>
      <c r="H28" s="32" t="b">
        <v>0</v>
      </c>
      <c r="I28" s="32" t="b">
        <v>0</v>
      </c>
      <c r="J28" s="37" t="b">
        <v>1</v>
      </c>
      <c r="K28" s="37" t="b">
        <v>0</v>
      </c>
      <c r="L28" s="37" t="b">
        <v>0</v>
      </c>
      <c r="M28" s="37" t="b">
        <v>0</v>
      </c>
      <c r="N28" s="37" t="b">
        <v>0</v>
      </c>
      <c r="O28" s="37" t="b">
        <v>0</v>
      </c>
      <c r="P28" s="37" t="b">
        <v>0</v>
      </c>
      <c r="Q28" s="37" t="b">
        <v>0</v>
      </c>
      <c r="R28" s="32" t="b">
        <v>0</v>
      </c>
      <c r="S28" s="32" t="b">
        <v>0</v>
      </c>
      <c r="T28" s="32" t="b">
        <v>0</v>
      </c>
    </row>
    <row r="29" spans="1:20" ht="40.799999999999997">
      <c r="A29" s="17">
        <f>ข้อสอบ!A27</f>
        <v>25</v>
      </c>
      <c r="B29" s="5" t="str">
        <f>ข้อสอบ!B27</f>
        <v>โครงการพัฒนาระบบควบคุมอากาศยานไร้คนขับ (Drone) ที่มีข้อกำหนดด้านความปลอดภัยสูง ควรใช้ Spiral Model อย่างไรเพื่อลดความเสี่ยง?</v>
      </c>
      <c r="C29" s="35" t="s">
        <v>27</v>
      </c>
      <c r="D29" s="32" t="b">
        <v>0</v>
      </c>
      <c r="E29" s="32" t="b">
        <v>0</v>
      </c>
      <c r="F29" s="32" t="b">
        <v>0</v>
      </c>
      <c r="G29" s="32" t="b">
        <v>1</v>
      </c>
      <c r="H29" s="32" t="b">
        <v>0</v>
      </c>
      <c r="I29" s="32" t="b">
        <v>0</v>
      </c>
      <c r="J29" s="37" t="b">
        <v>1</v>
      </c>
      <c r="K29" s="37" t="b">
        <v>0</v>
      </c>
      <c r="L29" s="37" t="b">
        <v>0</v>
      </c>
      <c r="M29" s="37" t="b">
        <v>0</v>
      </c>
      <c r="N29" s="37" t="b">
        <v>0</v>
      </c>
      <c r="O29" s="37" t="b">
        <v>0</v>
      </c>
      <c r="P29" s="37" t="b">
        <v>0</v>
      </c>
      <c r="Q29" s="37" t="b">
        <v>0</v>
      </c>
      <c r="R29" s="32" t="b">
        <v>0</v>
      </c>
      <c r="S29" s="32" t="b">
        <v>0</v>
      </c>
      <c r="T29" s="32" t="b">
        <v>0</v>
      </c>
    </row>
    <row r="30" spans="1:20" ht="40.799999999999997">
      <c r="A30" s="17">
        <f>ข้อสอบ!A28</f>
        <v>26</v>
      </c>
      <c r="B30" s="5" t="str">
        <f>ข้อสอบ!B28</f>
        <v>เอกสาร TOR (Terms of Reference) ของโครงการซอฟต์แวร์ภาครัฐไทยมีวัตถุประสงค์หลักเพื่ออะไร?</v>
      </c>
      <c r="C30" s="35" t="s">
        <v>28</v>
      </c>
      <c r="D30" s="32" t="b">
        <v>0</v>
      </c>
      <c r="E30" s="32" t="b">
        <v>1</v>
      </c>
      <c r="F30" s="32" t="b">
        <v>0</v>
      </c>
      <c r="G30" s="32" t="b">
        <v>0</v>
      </c>
      <c r="H30" s="32" t="b">
        <v>0</v>
      </c>
      <c r="I30" s="32" t="b">
        <v>0</v>
      </c>
      <c r="J30" s="37" t="b">
        <v>0</v>
      </c>
      <c r="K30" s="37" t="b">
        <v>1</v>
      </c>
      <c r="L30" s="37" t="b">
        <v>0</v>
      </c>
      <c r="M30" s="37" t="b">
        <v>0</v>
      </c>
      <c r="N30" s="37" t="b">
        <v>0</v>
      </c>
      <c r="O30" s="37" t="b">
        <v>0</v>
      </c>
      <c r="P30" s="37" t="b">
        <v>0</v>
      </c>
      <c r="Q30" s="37" t="b">
        <v>0</v>
      </c>
      <c r="R30" s="32" t="b">
        <v>0</v>
      </c>
      <c r="S30" s="32" t="b">
        <v>0</v>
      </c>
      <c r="T30" s="32" t="b">
        <v>0</v>
      </c>
    </row>
    <row r="31" spans="1:20" ht="61.2">
      <c r="A31" s="17">
        <f>ข้อสอบ!A29</f>
        <v>27</v>
      </c>
      <c r="B31" s="5" t="str">
        <f>ข้อสอบ!B29</f>
        <v>จาก TOR โครงการระบบจัดเก็บภาษีออนไลน์ของกรมสรรพากร ระบุว่าต้อง "รองรับผู้ใช้พร้อมกัน 10,000 คน" และ "ผ่านมาตรฐานความปลอดภัย PCI-DSS" ข้อใดคือแนวทางปฏิบัติที่ดีที่สุดสำหรับทีมพัฒนา?</v>
      </c>
      <c r="C31" s="35" t="s">
        <v>27</v>
      </c>
      <c r="D31" s="32" t="b">
        <v>0</v>
      </c>
      <c r="E31" s="32" t="b">
        <v>0</v>
      </c>
      <c r="F31" s="32" t="b">
        <v>0</v>
      </c>
      <c r="G31" s="32" t="b">
        <v>1</v>
      </c>
      <c r="H31" s="32" t="b">
        <v>0</v>
      </c>
      <c r="I31" s="32" t="b">
        <v>0</v>
      </c>
      <c r="J31" s="37" t="b">
        <v>1</v>
      </c>
      <c r="K31" s="37" t="b">
        <v>0</v>
      </c>
      <c r="L31" s="37" t="b">
        <v>0</v>
      </c>
      <c r="M31" s="37" t="b">
        <v>0</v>
      </c>
      <c r="N31" s="37" t="b">
        <v>0</v>
      </c>
      <c r="O31" s="37" t="b">
        <v>0</v>
      </c>
      <c r="P31" s="37" t="b">
        <v>0</v>
      </c>
      <c r="Q31" s="37" t="b">
        <v>0</v>
      </c>
      <c r="R31" s="32" t="b">
        <v>0</v>
      </c>
      <c r="S31" s="32" t="b">
        <v>0</v>
      </c>
      <c r="T31" s="32" t="b">
        <v>0</v>
      </c>
    </row>
    <row r="32" spans="1:20">
      <c r="A32" s="17">
        <f>ข้อสอบ!A30</f>
        <v>28</v>
      </c>
      <c r="B32" s="5" t="str">
        <f>ข้อสอบ!B30</f>
        <v>ข้อใดคือ Functional Requirement (ความต้องการเชิงหน้าที่) ของระบบ Asset Management?</v>
      </c>
      <c r="C32" s="35" t="s">
        <v>28</v>
      </c>
      <c r="D32" s="32" t="b">
        <v>0</v>
      </c>
      <c r="E32" s="32" t="b">
        <v>1</v>
      </c>
      <c r="F32" s="32" t="b">
        <v>0</v>
      </c>
      <c r="G32" s="32" t="b">
        <v>0</v>
      </c>
      <c r="H32" s="32" t="b">
        <v>0</v>
      </c>
      <c r="I32" s="32" t="b">
        <v>0</v>
      </c>
      <c r="J32" s="37" t="b">
        <v>0</v>
      </c>
      <c r="K32" s="37" t="b">
        <v>1</v>
      </c>
      <c r="L32" s="37" t="b">
        <v>0</v>
      </c>
      <c r="M32" s="37" t="b">
        <v>0</v>
      </c>
      <c r="N32" s="37" t="b">
        <v>0</v>
      </c>
      <c r="O32" s="37" t="b">
        <v>0</v>
      </c>
      <c r="P32" s="37" t="b">
        <v>0</v>
      </c>
      <c r="Q32" s="37" t="b">
        <v>0</v>
      </c>
      <c r="R32" s="32" t="b">
        <v>0</v>
      </c>
      <c r="S32" s="32" t="b">
        <v>0</v>
      </c>
      <c r="T32" s="32" t="b">
        <v>0</v>
      </c>
    </row>
    <row r="33" spans="1:20" ht="40.799999999999997">
      <c r="A33" s="17">
        <f>ข้อสอบ!A31</f>
        <v>29</v>
      </c>
      <c r="B33" s="5" t="str">
        <f>ข้อสอบ!B31</f>
        <v>จากข้อกำหนด "ระบบต้องแสดงผลข้อมูลครุภัณฑ์ 10,000 รายการภายในเวลาไม่เกิน 2 วินาที" ข้อใดคือเทคนิคที่เหมาะสมที่สุดเพื่อให้เป็นไปตามข้อกำหนดนี้?</v>
      </c>
      <c r="C33" s="35" t="s">
        <v>28</v>
      </c>
      <c r="D33" s="32" t="b">
        <v>0</v>
      </c>
      <c r="E33" s="32" t="b">
        <v>0</v>
      </c>
      <c r="F33" s="32" t="b">
        <v>0</v>
      </c>
      <c r="G33" s="32" t="b">
        <v>1</v>
      </c>
      <c r="H33" s="32" t="b">
        <v>0</v>
      </c>
      <c r="I33" s="32" t="b">
        <v>0</v>
      </c>
      <c r="J33" s="37" t="b">
        <v>0</v>
      </c>
      <c r="K33" s="37" t="b">
        <v>1</v>
      </c>
      <c r="L33" s="37" t="b">
        <v>0</v>
      </c>
      <c r="M33" s="37" t="b">
        <v>0</v>
      </c>
      <c r="N33" s="37" t="b">
        <v>0</v>
      </c>
      <c r="O33" s="37" t="b">
        <v>0</v>
      </c>
      <c r="P33" s="37" t="b">
        <v>0</v>
      </c>
      <c r="Q33" s="37" t="b">
        <v>0</v>
      </c>
      <c r="R33" s="32" t="b">
        <v>0</v>
      </c>
      <c r="S33" s="32" t="b">
        <v>0</v>
      </c>
      <c r="T33" s="32" t="b">
        <v>0</v>
      </c>
    </row>
    <row r="34" spans="1:20" ht="40.799999999999997">
      <c r="A34" s="17">
        <f>ข้อสอบ!A32</f>
        <v>30</v>
      </c>
      <c r="B34" s="5" t="str">
        <f>ข้อสอบ!B32</f>
        <v xml:space="preserve"> หากมีข้อขัดแย้งระหว่าง Stakeholder เกี่ยวกับ Requirement ของระบบ Asset Management ข้อใดควรได้รับการจัดลำดับความสำคัญสูงสุด?</v>
      </c>
      <c r="C34" s="35" t="s">
        <v>28</v>
      </c>
      <c r="D34" s="32" t="b">
        <v>0</v>
      </c>
      <c r="E34" s="32" t="b">
        <v>0</v>
      </c>
      <c r="F34" s="32" t="b">
        <v>0</v>
      </c>
      <c r="G34" s="32" t="b">
        <v>1</v>
      </c>
      <c r="H34" s="32" t="b">
        <v>0</v>
      </c>
      <c r="I34" s="32" t="b">
        <v>0</v>
      </c>
      <c r="J34" s="37" t="b">
        <v>0</v>
      </c>
      <c r="K34" s="37" t="b">
        <v>1</v>
      </c>
      <c r="L34" s="37" t="b">
        <v>0</v>
      </c>
      <c r="M34" s="37" t="b">
        <v>0</v>
      </c>
      <c r="N34" s="37" t="b">
        <v>0</v>
      </c>
      <c r="O34" s="37" t="b">
        <v>0</v>
      </c>
      <c r="P34" s="37" t="b">
        <v>0</v>
      </c>
      <c r="Q34" s="37" t="b">
        <v>0</v>
      </c>
      <c r="R34" s="32" t="b">
        <v>0</v>
      </c>
      <c r="S34" s="32" t="b">
        <v>0</v>
      </c>
      <c r="T34" s="32" t="b">
        <v>0</v>
      </c>
    </row>
    <row r="35" spans="1:20">
      <c r="A35" s="17">
        <f>ข้อสอบ!A33</f>
        <v>31</v>
      </c>
      <c r="B35" s="5" t="str">
        <f>ข้อสอบ!B33</f>
        <v>ใน Use Case Diagram สัญลักษณ์ "เส้นประกับหัวลูกศร" และคำว่า &lt;&lt;include&gt;&gt; หมายถึงอะไร?</v>
      </c>
      <c r="C35" s="35" t="s">
        <v>28</v>
      </c>
      <c r="D35" s="32" t="b">
        <v>1</v>
      </c>
      <c r="E35" s="32" t="b">
        <v>0</v>
      </c>
      <c r="F35" s="32" t="b">
        <v>0</v>
      </c>
      <c r="G35" s="32" t="b">
        <v>0</v>
      </c>
      <c r="H35" s="32" t="b">
        <v>0</v>
      </c>
      <c r="I35" s="32" t="b">
        <v>0</v>
      </c>
      <c r="J35" s="37" t="b">
        <v>0</v>
      </c>
      <c r="K35" s="37" t="b">
        <v>1</v>
      </c>
      <c r="L35" s="37" t="b">
        <v>0</v>
      </c>
      <c r="M35" s="37" t="b">
        <v>0</v>
      </c>
      <c r="N35" s="37" t="b">
        <v>0</v>
      </c>
      <c r="O35" s="37" t="b">
        <v>0</v>
      </c>
      <c r="P35" s="37" t="b">
        <v>0</v>
      </c>
      <c r="Q35" s="37" t="b">
        <v>0</v>
      </c>
      <c r="R35" s="32" t="b">
        <v>0</v>
      </c>
      <c r="S35" s="32" t="b">
        <v>0</v>
      </c>
      <c r="T35" s="32" t="b">
        <v>0</v>
      </c>
    </row>
    <row r="36" spans="1:20" ht="40.799999999999997">
      <c r="A36" s="17">
        <f>ข้อสอบ!A34</f>
        <v>32</v>
      </c>
      <c r="B36" s="5" t="str">
        <f>ข้อสอบ!B34</f>
        <v>จากระบบจองห้องสมุดที่มี Actor คือ "สมาชิก" และ "บรรณารักษ์" ข้อใดคือ Use Case ที่สมบูรณ์ที่สุด?</v>
      </c>
      <c r="C36" s="35" t="s">
        <v>28</v>
      </c>
      <c r="D36" s="32" t="b">
        <v>0</v>
      </c>
      <c r="E36" s="32" t="b">
        <v>0</v>
      </c>
      <c r="F36" s="32" t="b">
        <v>1</v>
      </c>
      <c r="G36" s="32" t="b">
        <v>0</v>
      </c>
      <c r="H36" s="32" t="b">
        <v>0</v>
      </c>
      <c r="I36" s="32" t="b">
        <v>0</v>
      </c>
      <c r="J36" s="37" t="b">
        <v>0</v>
      </c>
      <c r="K36" s="37" t="b">
        <v>1</v>
      </c>
      <c r="L36" s="37" t="b">
        <v>0</v>
      </c>
      <c r="M36" s="37" t="b">
        <v>0</v>
      </c>
      <c r="N36" s="37" t="b">
        <v>0</v>
      </c>
      <c r="O36" s="37" t="b">
        <v>0</v>
      </c>
      <c r="P36" s="37" t="b">
        <v>0</v>
      </c>
      <c r="Q36" s="37" t="b">
        <v>0</v>
      </c>
      <c r="R36" s="32" t="b">
        <v>0</v>
      </c>
      <c r="S36" s="32" t="b">
        <v>0</v>
      </c>
      <c r="T36" s="32" t="b">
        <v>0</v>
      </c>
    </row>
    <row r="37" spans="1:20" ht="40.799999999999997">
      <c r="A37" s="17">
        <f>ข้อสอบ!A35</f>
        <v>33</v>
      </c>
      <c r="B37" s="5" t="str">
        <f>ข้อสอบ!B35</f>
        <v>จาก Use Case Diagram ของระบบ ATM ที่แสดงความสัมพันธ์ &lt;&lt;extend&gt;&gt; จาก "ตรวจสอบยอดเงิน" ไปยัง "ยืนยัน PIN" ข้อใดถูกต้องที่สุด?</v>
      </c>
      <c r="C37" s="35" t="s">
        <v>28</v>
      </c>
      <c r="D37" s="32" t="b">
        <v>0</v>
      </c>
      <c r="E37" s="32" t="b">
        <v>0</v>
      </c>
      <c r="F37" s="32" t="b">
        <v>0</v>
      </c>
      <c r="G37" s="32" t="b">
        <v>0</v>
      </c>
      <c r="H37" s="32" t="b">
        <v>0</v>
      </c>
      <c r="I37" s="32" t="b">
        <v>0</v>
      </c>
      <c r="J37" s="37" t="b">
        <v>0</v>
      </c>
      <c r="K37" s="37" t="b">
        <v>1</v>
      </c>
      <c r="L37" s="37" t="b">
        <v>0</v>
      </c>
      <c r="M37" s="37" t="b">
        <v>0</v>
      </c>
      <c r="N37" s="37" t="b">
        <v>0</v>
      </c>
      <c r="O37" s="37" t="b">
        <v>0</v>
      </c>
      <c r="P37" s="37" t="b">
        <v>0</v>
      </c>
      <c r="Q37" s="37" t="b">
        <v>0</v>
      </c>
      <c r="R37" s="32" t="b">
        <v>0</v>
      </c>
      <c r="S37" s="32" t="b">
        <v>0</v>
      </c>
      <c r="T37" s="32" t="b">
        <v>0</v>
      </c>
    </row>
    <row r="38" spans="1:20" ht="40.799999999999997">
      <c r="A38" s="17">
        <f>ข้อสอบ!A36</f>
        <v>34</v>
      </c>
      <c r="B38" s="5" t="str">
        <f>ข้อสอบ!B36</f>
        <v xml:space="preserve"> ขั้นตอนใดในวงจร PDCA ที่เกี่ยวข้องกับการทดสอบและการตรวจสอบว่าแผนที่วางไว้ได้ผลตามความคาดหวังหรือไม่?</v>
      </c>
      <c r="C38" s="35" t="s">
        <v>29</v>
      </c>
      <c r="D38" s="32" t="b">
        <v>0</v>
      </c>
      <c r="E38" s="32" t="b">
        <v>1</v>
      </c>
      <c r="F38" s="32" t="b">
        <v>0</v>
      </c>
      <c r="G38" s="32" t="b">
        <v>0</v>
      </c>
      <c r="H38" s="32" t="b">
        <v>0</v>
      </c>
      <c r="I38" s="32" t="b">
        <v>0</v>
      </c>
      <c r="J38" s="37" t="b">
        <v>0</v>
      </c>
      <c r="K38" s="37" t="b">
        <v>0</v>
      </c>
      <c r="L38" s="37" t="b">
        <v>0</v>
      </c>
      <c r="M38" s="37" t="b">
        <v>0</v>
      </c>
      <c r="N38" s="37" t="b">
        <v>1</v>
      </c>
      <c r="O38" s="37" t="b">
        <v>0</v>
      </c>
      <c r="P38" s="37" t="b">
        <v>0</v>
      </c>
      <c r="Q38" s="37" t="b">
        <v>0</v>
      </c>
      <c r="R38" s="32" t="b">
        <v>0</v>
      </c>
      <c r="S38" s="32" t="b">
        <v>0</v>
      </c>
      <c r="T38" s="32" t="b">
        <v>0</v>
      </c>
    </row>
    <row r="39" spans="1:20">
      <c r="A39" s="17">
        <f>ข้อสอบ!A37</f>
        <v>35</v>
      </c>
      <c r="B39" s="5" t="str">
        <f>ข้อสอบ!B37</f>
        <v>ทีมพัฒนาซอฟต์แวร์ใช้ PDCA ในทบทวนกิจกรรมที่ผ่านมาอย่างไร?</v>
      </c>
      <c r="C39" s="35" t="s">
        <v>30</v>
      </c>
      <c r="D39" s="32" t="b">
        <v>0</v>
      </c>
      <c r="E39" s="32" t="b">
        <v>0</v>
      </c>
      <c r="F39" s="32" t="b">
        <v>1</v>
      </c>
      <c r="G39" s="32" t="b">
        <v>0</v>
      </c>
      <c r="H39" s="32" t="b">
        <v>0</v>
      </c>
      <c r="I39" s="32" t="b">
        <v>0</v>
      </c>
      <c r="J39" s="37" t="b">
        <v>0</v>
      </c>
      <c r="K39" s="37" t="b">
        <v>0</v>
      </c>
      <c r="L39" s="37" t="b">
        <v>0</v>
      </c>
      <c r="M39" s="37" t="b">
        <v>0</v>
      </c>
      <c r="N39" s="37" t="b">
        <v>1</v>
      </c>
      <c r="O39" s="37" t="b">
        <v>0</v>
      </c>
      <c r="P39" s="37" t="b">
        <v>0</v>
      </c>
      <c r="Q39" s="37" t="b">
        <v>0</v>
      </c>
      <c r="R39" s="32" t="b">
        <v>0</v>
      </c>
      <c r="S39" s="32" t="b">
        <v>0</v>
      </c>
      <c r="T39" s="32" t="b">
        <v>0</v>
      </c>
    </row>
    <row r="40" spans="1:20" ht="61.2">
      <c r="A40" s="17">
        <f>ข้อสอบ!A38</f>
        <v>36</v>
      </c>
      <c r="B40" s="5" t="str">
        <f>ข้อสอบ!B38</f>
        <v>จากกรณีศึกษา ทีมพัฒนาระบบ E-Commerce พบว่าหลังจากใช้ PDCA ผ่าน 3 Sprint อัตราความผิดพลาด (Defect Rate) ลดลง 20% แต่เวลาในการพัฒนาเพิ่มขึ้น 15% ข้อใดสะท้อนการประเมินที่สมดุลที่สุด?</v>
      </c>
      <c r="C40" s="35" t="s">
        <v>28</v>
      </c>
      <c r="D40" s="32" t="b">
        <v>0</v>
      </c>
      <c r="E40" s="32" t="b">
        <v>0</v>
      </c>
      <c r="F40" s="32" t="b">
        <v>0</v>
      </c>
      <c r="G40" s="32" t="b">
        <v>0</v>
      </c>
      <c r="H40" s="32" t="b">
        <v>1</v>
      </c>
      <c r="I40" s="32" t="b">
        <v>0</v>
      </c>
      <c r="J40" s="37" t="b">
        <v>0</v>
      </c>
      <c r="K40" s="37" t="b">
        <v>0</v>
      </c>
      <c r="L40" s="37" t="b">
        <v>0</v>
      </c>
      <c r="M40" s="37" t="b">
        <v>0</v>
      </c>
      <c r="N40" s="37" t="b">
        <v>1</v>
      </c>
      <c r="O40" s="37" t="b">
        <v>0</v>
      </c>
      <c r="P40" s="37" t="b">
        <v>0</v>
      </c>
      <c r="Q40" s="37" t="b">
        <v>0</v>
      </c>
      <c r="R40" s="32" t="b">
        <v>0</v>
      </c>
      <c r="S40" s="32" t="b">
        <v>0</v>
      </c>
      <c r="T40" s="32" t="b">
        <v>0</v>
      </c>
    </row>
    <row r="41" spans="1:20">
      <c r="A41" s="17">
        <f>ข้อสอบ!A39</f>
        <v>37</v>
      </c>
      <c r="B41" s="5" t="str">
        <f>ข้อสอบ!B39</f>
        <v>หลักการ Encapsulation ใน C# หมายถึงอะไร?</v>
      </c>
      <c r="C41" s="35" t="s">
        <v>27</v>
      </c>
      <c r="D41" s="32" t="b">
        <v>0</v>
      </c>
      <c r="E41" s="32" t="b">
        <v>1</v>
      </c>
      <c r="F41" s="32" t="b">
        <v>0</v>
      </c>
      <c r="G41" s="32" t="b">
        <v>0</v>
      </c>
      <c r="H41" s="32" t="b">
        <v>0</v>
      </c>
      <c r="I41" s="32" t="b">
        <v>0</v>
      </c>
      <c r="J41" s="37" t="b">
        <v>0</v>
      </c>
      <c r="K41" s="37" t="b">
        <v>0</v>
      </c>
      <c r="L41" s="37" t="b">
        <v>0</v>
      </c>
      <c r="M41" s="37" t="b">
        <v>0</v>
      </c>
      <c r="N41" s="37" t="b">
        <v>0</v>
      </c>
      <c r="O41" s="37" t="b">
        <v>0</v>
      </c>
      <c r="P41" s="37" t="b">
        <v>0</v>
      </c>
      <c r="Q41" s="37" t="b">
        <v>0</v>
      </c>
      <c r="R41" s="32" t="b">
        <v>1</v>
      </c>
      <c r="S41" s="32" t="b">
        <v>0</v>
      </c>
      <c r="T41" s="32" t="b">
        <v>0</v>
      </c>
    </row>
    <row r="42" spans="1:20">
      <c r="A42" s="17">
        <f>ข้อสอบ!A40</f>
        <v>38</v>
      </c>
      <c r="B42" s="5" t="str">
        <f>ข้อสอบ!B40</f>
        <v>เมธอด Substring() ใน C# ใช้ทำอะไร?</v>
      </c>
      <c r="C42" s="35" t="s">
        <v>27</v>
      </c>
      <c r="D42" s="32" t="b">
        <v>0</v>
      </c>
      <c r="E42" s="32" t="b">
        <v>1</v>
      </c>
      <c r="F42" s="32" t="b">
        <v>0</v>
      </c>
      <c r="G42" s="32" t="b">
        <v>0</v>
      </c>
      <c r="H42" s="32" t="b">
        <v>0</v>
      </c>
      <c r="I42" s="32" t="b">
        <v>0</v>
      </c>
      <c r="J42" s="37" t="b">
        <v>0</v>
      </c>
      <c r="K42" s="37" t="b">
        <v>0</v>
      </c>
      <c r="L42" s="37" t="b">
        <v>0</v>
      </c>
      <c r="M42" s="37" t="b">
        <v>0</v>
      </c>
      <c r="N42" s="37" t="b">
        <v>0</v>
      </c>
      <c r="O42" s="37" t="b">
        <v>0</v>
      </c>
      <c r="P42" s="37" t="b">
        <v>0</v>
      </c>
      <c r="Q42" s="37" t="b">
        <v>0</v>
      </c>
      <c r="R42" s="32" t="b">
        <v>1</v>
      </c>
      <c r="S42" s="32" t="b">
        <v>0</v>
      </c>
      <c r="T42" s="32" t="b">
        <v>0</v>
      </c>
    </row>
    <row r="43" spans="1:20" ht="102">
      <c r="A43" s="17">
        <f>ข้อสอบ!A41</f>
        <v>39</v>
      </c>
      <c r="B43" s="5" t="str">
        <f>ข้อสอบ!B41</f>
        <v>จากโค้ดต่อไปนี้ ผลลัพธ์จะเป็นอย่างไร?
string str1 = "Hello";
string str2 = "hello";
int result = string.Compare(str1, str2, StringComparison.OrdinalIgnoreCase);
Console.WriteLine(result);</v>
      </c>
      <c r="C43" s="35" t="s">
        <v>28</v>
      </c>
      <c r="D43" s="32" t="b">
        <v>0</v>
      </c>
      <c r="E43" s="32" t="b">
        <v>0</v>
      </c>
      <c r="F43" s="32" t="b">
        <v>1</v>
      </c>
      <c r="G43" s="32" t="b">
        <v>0</v>
      </c>
      <c r="H43" s="32" t="b">
        <v>0</v>
      </c>
      <c r="I43" s="32" t="b">
        <v>0</v>
      </c>
      <c r="J43" s="37" t="b">
        <v>0</v>
      </c>
      <c r="K43" s="37" t="b">
        <v>0</v>
      </c>
      <c r="L43" s="37" t="b">
        <v>0</v>
      </c>
      <c r="M43" s="37" t="b">
        <v>0</v>
      </c>
      <c r="N43" s="37" t="b">
        <v>0</v>
      </c>
      <c r="O43" s="37" t="b">
        <v>0</v>
      </c>
      <c r="P43" s="37" t="b">
        <v>0</v>
      </c>
      <c r="Q43" s="37" t="b">
        <v>0</v>
      </c>
      <c r="R43" s="32" t="b">
        <v>1</v>
      </c>
      <c r="S43" s="32" t="b">
        <v>0</v>
      </c>
      <c r="T43" s="32" t="b">
        <v>0</v>
      </c>
    </row>
    <row r="44" spans="1:20">
      <c r="A44" s="17">
        <f>ข้อสอบ!A42</f>
        <v>40</v>
      </c>
      <c r="B44" s="5" t="str">
        <f>ข้อสอบ!B42</f>
        <v>การทดสอบแบบใดที่ตรวจสอบว่าระบบทำงานตามความต้องการของผู้ใช้หรือไม่?</v>
      </c>
      <c r="C44" s="35" t="s">
        <v>30</v>
      </c>
      <c r="D44" s="32" t="b">
        <v>0</v>
      </c>
      <c r="E44" s="32" t="b">
        <v>1</v>
      </c>
      <c r="F44" s="32" t="b">
        <v>0</v>
      </c>
      <c r="G44" s="32" t="b">
        <v>0</v>
      </c>
      <c r="H44" s="32" t="b">
        <v>0</v>
      </c>
      <c r="I44" s="32" t="b">
        <v>0</v>
      </c>
      <c r="J44" s="37" t="b">
        <v>0</v>
      </c>
      <c r="K44" s="37" t="b">
        <v>0</v>
      </c>
      <c r="L44" s="37" t="b">
        <v>0</v>
      </c>
      <c r="M44" s="37" t="b">
        <v>1</v>
      </c>
      <c r="N44" s="37" t="b">
        <v>0</v>
      </c>
      <c r="O44" s="37" t="b">
        <v>0</v>
      </c>
      <c r="P44" s="37" t="b">
        <v>0</v>
      </c>
      <c r="Q44" s="37" t="b">
        <v>0</v>
      </c>
      <c r="R44" s="32" t="b">
        <v>0</v>
      </c>
      <c r="S44" s="32" t="b">
        <v>0</v>
      </c>
      <c r="T44" s="32" t="b">
        <v>0</v>
      </c>
    </row>
    <row r="45" spans="1:20">
      <c r="A45" s="17">
        <f>ข้อสอบ!A43</f>
        <v>41</v>
      </c>
      <c r="B45" s="5" t="str">
        <f>ข้อสอบ!B43</f>
        <v>คุณสมบัติใดของ DateTimePicker ที่ใช้กำหนดรูปแบบการแสดงผลวันที่?</v>
      </c>
      <c r="C45" s="35" t="s">
        <v>29</v>
      </c>
      <c r="D45" s="32" t="b">
        <v>0</v>
      </c>
      <c r="E45" s="32" t="b">
        <v>1</v>
      </c>
      <c r="F45" s="32" t="b">
        <v>0</v>
      </c>
      <c r="G45" s="32" t="b">
        <v>0</v>
      </c>
      <c r="H45" s="32" t="b">
        <v>0</v>
      </c>
      <c r="I45" s="32" t="b">
        <v>0</v>
      </c>
      <c r="J45" s="37" t="b">
        <v>0</v>
      </c>
      <c r="K45" s="37" t="b">
        <v>0</v>
      </c>
      <c r="L45" s="37" t="b">
        <v>0</v>
      </c>
      <c r="M45" s="37" t="b">
        <v>0</v>
      </c>
      <c r="N45" s="37" t="b">
        <v>0</v>
      </c>
      <c r="O45" s="37" t="b">
        <v>0</v>
      </c>
      <c r="P45" s="37" t="b">
        <v>0</v>
      </c>
      <c r="Q45" s="37" t="b">
        <v>0</v>
      </c>
      <c r="R45" s="32" t="b">
        <v>1</v>
      </c>
      <c r="S45" s="32" t="b">
        <v>0</v>
      </c>
      <c r="T45" s="32" t="b">
        <v>0</v>
      </c>
    </row>
    <row r="46" spans="1:20" ht="40.799999999999997">
      <c r="A46" s="17">
        <f>ข้อสอบ!A44</f>
        <v>42</v>
      </c>
      <c r="B46" s="5" t="str">
        <f>ข้อสอบ!B44</f>
        <v>จากฟอร์มที่มี NumericUpDown (ชื่อ numQuantity) และ TextBox (ชื่อ txtTotal) ต้องการคำนวณ Total = Quantity * 100 ทุกครั้งที่ค่ามีการเปลี่ยนแปลง ควรใช้เหตุการณ์ (Event) ใด?</v>
      </c>
      <c r="C46" s="35" t="s">
        <v>28</v>
      </c>
      <c r="D46" s="32" t="b">
        <v>0</v>
      </c>
      <c r="E46" s="32" t="b">
        <v>0</v>
      </c>
      <c r="F46" s="32" t="b">
        <v>1</v>
      </c>
      <c r="G46" s="32" t="b">
        <v>0</v>
      </c>
      <c r="H46" s="32" t="b">
        <v>0</v>
      </c>
      <c r="I46" s="32" t="b">
        <v>0</v>
      </c>
      <c r="J46" s="37" t="b">
        <v>0</v>
      </c>
      <c r="K46" s="37" t="b">
        <v>0</v>
      </c>
      <c r="L46" s="37" t="b">
        <v>0</v>
      </c>
      <c r="M46" s="37" t="b">
        <v>0</v>
      </c>
      <c r="N46" s="37" t="b">
        <v>0</v>
      </c>
      <c r="O46" s="37" t="b">
        <v>0</v>
      </c>
      <c r="P46" s="37" t="b">
        <v>0</v>
      </c>
      <c r="Q46" s="37" t="b">
        <v>0</v>
      </c>
      <c r="R46" s="32" t="b">
        <v>1</v>
      </c>
      <c r="S46" s="32" t="b">
        <v>0</v>
      </c>
      <c r="T46" s="32" t="b">
        <v>0</v>
      </c>
    </row>
    <row r="47" spans="1:20" ht="40.799999999999997">
      <c r="A47" s="17">
        <f>ข้อสอบ!A45</f>
        <v>43</v>
      </c>
      <c r="B47" s="5" t="str">
        <f>ข้อสอบ!B45</f>
        <v>ต้องการตรวจสอบว่า TextBox (ชื่อ txtAge) มีค่าที่กรอกเป็นตัวเลขเท่านั้น ควรใช้โค้ดใดในเหตุการณ์ txtAge_KeyPress?</v>
      </c>
      <c r="C47" s="35" t="s">
        <v>27</v>
      </c>
      <c r="D47" s="32" t="b">
        <v>0</v>
      </c>
      <c r="E47" s="32" t="b">
        <v>0</v>
      </c>
      <c r="F47" s="32" t="b">
        <v>1</v>
      </c>
      <c r="G47" s="32" t="b">
        <v>0</v>
      </c>
      <c r="H47" s="32" t="b">
        <v>0</v>
      </c>
      <c r="I47" s="32" t="b">
        <v>0</v>
      </c>
      <c r="J47" s="37" t="b">
        <v>0</v>
      </c>
      <c r="K47" s="37" t="b">
        <v>0</v>
      </c>
      <c r="L47" s="37" t="b">
        <v>0</v>
      </c>
      <c r="M47" s="37" t="b">
        <v>0</v>
      </c>
      <c r="N47" s="37" t="b">
        <v>0</v>
      </c>
      <c r="O47" s="37" t="b">
        <v>0</v>
      </c>
      <c r="P47" s="37" t="b">
        <v>0</v>
      </c>
      <c r="Q47" s="37" t="b">
        <v>0</v>
      </c>
      <c r="R47" s="32" t="b">
        <v>1</v>
      </c>
      <c r="S47" s="32" t="b">
        <v>0</v>
      </c>
      <c r="T47" s="32" t="b">
        <v>0</v>
      </c>
    </row>
    <row r="48" spans="1:20">
      <c r="A48" s="17">
        <f>ข้อสอบ!A46</f>
        <v>44</v>
      </c>
      <c r="B48" s="5" t="str">
        <f>ข้อสอบ!B46</f>
        <v>หากต้องการให้ข้อความในแท็ก &lt;p&gt; มีสีแดง ควรใช้รูปแบบใด?</v>
      </c>
      <c r="C48" s="35" t="s">
        <v>27</v>
      </c>
      <c r="D48" s="32" t="b">
        <v>0</v>
      </c>
      <c r="E48" s="32" t="b">
        <v>0</v>
      </c>
      <c r="F48" s="32" t="b">
        <v>1</v>
      </c>
      <c r="G48" s="32" t="b">
        <v>0</v>
      </c>
      <c r="H48" s="32" t="b">
        <v>0</v>
      </c>
      <c r="I48" s="32" t="b">
        <v>0</v>
      </c>
      <c r="J48" s="37" t="b">
        <v>0</v>
      </c>
      <c r="K48" s="37" t="b">
        <v>0</v>
      </c>
      <c r="L48" s="37" t="b">
        <v>0</v>
      </c>
      <c r="M48" s="37" t="b">
        <v>0</v>
      </c>
      <c r="N48" s="37" t="b">
        <v>0</v>
      </c>
      <c r="O48" s="37" t="b">
        <v>0</v>
      </c>
      <c r="P48" s="37" t="b">
        <v>0</v>
      </c>
      <c r="Q48" s="37" t="b">
        <v>0</v>
      </c>
      <c r="R48" s="32" t="b">
        <v>0</v>
      </c>
      <c r="S48" s="32" t="b">
        <v>1</v>
      </c>
      <c r="T48" s="32" t="b">
        <v>0</v>
      </c>
    </row>
    <row r="49" spans="1:20" ht="40.799999999999997">
      <c r="A49" s="17">
        <f>ข้อสอบ!A47</f>
        <v>45</v>
      </c>
      <c r="B49" s="5" t="str">
        <f>ข้อสอบ!B47</f>
        <v>ใน Visual Studio คีย์เวิร์ดใดใช้สำหรับสร้าง XML Comments ที่แสดงคำอธิบายเมธอดแบบมาตรฐาน?</v>
      </c>
      <c r="C49" s="35" t="s">
        <v>29</v>
      </c>
      <c r="D49" s="32" t="b">
        <v>0</v>
      </c>
      <c r="E49" s="32" t="b">
        <v>1</v>
      </c>
      <c r="F49" s="32" t="b">
        <v>0</v>
      </c>
      <c r="G49" s="32" t="b">
        <v>0</v>
      </c>
      <c r="H49" s="32" t="b">
        <v>0</v>
      </c>
      <c r="I49" s="32" t="b">
        <v>0</v>
      </c>
      <c r="J49" s="37" t="b">
        <v>0</v>
      </c>
      <c r="K49" s="37" t="b">
        <v>0</v>
      </c>
      <c r="L49" s="37" t="b">
        <v>1</v>
      </c>
      <c r="M49" s="37" t="b">
        <v>0</v>
      </c>
      <c r="N49" s="37" t="b">
        <v>0</v>
      </c>
      <c r="O49" s="37" t="b">
        <v>0</v>
      </c>
      <c r="P49" s="37" t="b">
        <v>0</v>
      </c>
      <c r="Q49" s="37" t="b">
        <v>0</v>
      </c>
      <c r="R49" s="32" t="b">
        <v>0</v>
      </c>
      <c r="S49" s="32" t="b">
        <v>0</v>
      </c>
      <c r="T49" s="32" t="b">
        <v>0</v>
      </c>
    </row>
    <row r="50" spans="1:20" ht="40.799999999999997">
      <c r="A50" s="17">
        <f>ข้อสอบ!A48</f>
        <v>46</v>
      </c>
      <c r="B50" s="5" t="str">
        <f>ข้อสอบ!B48</f>
        <v>จากโค้ดต่อไปนี้ ต้องการเพิ่ม XML Comments สำหรับพารามิเตอร์และค่าที่คืนกลับ ควรเขียนอย่างไร?</v>
      </c>
      <c r="C50" s="35" t="s">
        <v>29</v>
      </c>
      <c r="D50" s="32" t="b">
        <v>0</v>
      </c>
      <c r="E50" s="32" t="b">
        <v>0</v>
      </c>
      <c r="F50" s="32" t="b">
        <v>1</v>
      </c>
      <c r="G50" s="32" t="b">
        <v>0</v>
      </c>
      <c r="H50" s="32" t="b">
        <v>0</v>
      </c>
      <c r="I50" s="32" t="b">
        <v>0</v>
      </c>
      <c r="J50" s="37" t="b">
        <v>0</v>
      </c>
      <c r="K50" s="37" t="b">
        <v>0</v>
      </c>
      <c r="L50" s="37" t="b">
        <v>1</v>
      </c>
      <c r="M50" s="37" t="b">
        <v>0</v>
      </c>
      <c r="N50" s="37" t="b">
        <v>0</v>
      </c>
      <c r="O50" s="37" t="b">
        <v>0</v>
      </c>
      <c r="P50" s="37" t="b">
        <v>0</v>
      </c>
      <c r="Q50" s="37" t="b">
        <v>0</v>
      </c>
      <c r="R50" s="32" t="b">
        <v>0</v>
      </c>
      <c r="S50" s="32" t="b">
        <v>0</v>
      </c>
      <c r="T50" s="32" t="b">
        <v>0</v>
      </c>
    </row>
    <row r="51" spans="1:20">
      <c r="A51" s="17">
        <f>ข้อสอบ!A49</f>
        <v>47</v>
      </c>
      <c r="B51" s="5" t="str">
        <f>ข้อสอบ!B49</f>
        <v>ข้อใดคือองค์ประกอบที่จำเป็นใน Use Case Diagram สำหรับระบุความต้องการซอฟต์แวร์?</v>
      </c>
      <c r="C51" s="35" t="s">
        <v>27</v>
      </c>
      <c r="D51" s="32" t="b">
        <v>0</v>
      </c>
      <c r="E51" s="32" t="b">
        <v>1</v>
      </c>
      <c r="F51" s="32" t="b">
        <v>0</v>
      </c>
      <c r="G51" s="32" t="b">
        <v>0</v>
      </c>
      <c r="H51" s="32" t="b">
        <v>0</v>
      </c>
      <c r="I51" s="32" t="b">
        <v>0</v>
      </c>
      <c r="J51" s="37" t="b">
        <v>0</v>
      </c>
      <c r="K51" s="37" t="b">
        <v>1</v>
      </c>
      <c r="L51" s="37" t="b">
        <v>0</v>
      </c>
      <c r="M51" s="37" t="b">
        <v>0</v>
      </c>
      <c r="N51" s="37" t="b">
        <v>0</v>
      </c>
      <c r="O51" s="37" t="b">
        <v>0</v>
      </c>
      <c r="P51" s="37" t="b">
        <v>0</v>
      </c>
      <c r="Q51" s="37" t="b">
        <v>0</v>
      </c>
      <c r="R51" s="32" t="b">
        <v>0</v>
      </c>
      <c r="S51" s="32" t="b">
        <v>0</v>
      </c>
      <c r="T51" s="32" t="b">
        <v>0</v>
      </c>
    </row>
    <row r="52" spans="1:20" ht="40.799999999999997">
      <c r="A52" s="17">
        <f>ข้อสอบ!A50</f>
        <v>48</v>
      </c>
      <c r="B52" s="5" t="str">
        <f>ข้อสอบ!B50</f>
        <v>จากระบบห้องสมุดโรงเรียนที่มี Actor คือ "นักเรียน", "ครู", และ "บรรณารักษ์" ข้อใดแสดง Use Case Diagram ที่สมบูรณ์ที่สุด?</v>
      </c>
      <c r="C52" s="35" t="s">
        <v>28</v>
      </c>
      <c r="D52" s="32" t="b">
        <v>0</v>
      </c>
      <c r="E52" s="32" t="b">
        <v>0</v>
      </c>
      <c r="F52" s="32" t="b">
        <v>1</v>
      </c>
      <c r="G52" s="32" t="b">
        <v>0</v>
      </c>
      <c r="H52" s="32" t="b">
        <v>0</v>
      </c>
      <c r="I52" s="32" t="b">
        <v>0</v>
      </c>
      <c r="J52" s="37" t="b">
        <v>0</v>
      </c>
      <c r="K52" s="37" t="b">
        <v>1</v>
      </c>
      <c r="L52" s="37" t="b">
        <v>0</v>
      </c>
      <c r="M52" s="37" t="b">
        <v>0</v>
      </c>
      <c r="N52" s="37" t="b">
        <v>0</v>
      </c>
      <c r="O52" s="37" t="b">
        <v>0</v>
      </c>
      <c r="P52" s="37" t="b">
        <v>0</v>
      </c>
      <c r="Q52" s="37" t="b">
        <v>0</v>
      </c>
      <c r="R52" s="32" t="b">
        <v>0</v>
      </c>
      <c r="S52" s="32" t="b">
        <v>0</v>
      </c>
      <c r="T52" s="32" t="b">
        <v>0</v>
      </c>
    </row>
    <row r="53" spans="1:20" ht="40.799999999999997">
      <c r="A53" s="17">
        <f>ข้อสอบ!A51</f>
        <v>49</v>
      </c>
      <c r="B53" s="5" t="str">
        <f>ข้อสอบ!B51</f>
        <v xml:space="preserve"> จากระบบ Facebook ที่มี Actor คือ "ผู้ใช้ทั่วไป", "ผู้ดูแลระบบ", และ "นักโฆษณา" ข้อใดแสดง Use Case Diagram ที่สมบูรณ์ที่สุด?</v>
      </c>
      <c r="C53" s="35" t="s">
        <v>28</v>
      </c>
      <c r="D53" s="32" t="b">
        <v>0</v>
      </c>
      <c r="E53" s="32" t="b">
        <v>0</v>
      </c>
      <c r="F53" s="32" t="b">
        <v>1</v>
      </c>
      <c r="G53" s="32" t="b">
        <v>0</v>
      </c>
      <c r="H53" s="32" t="b">
        <v>0</v>
      </c>
      <c r="I53" s="32" t="b">
        <v>0</v>
      </c>
      <c r="J53" s="37" t="b">
        <v>0</v>
      </c>
      <c r="K53" s="37" t="b">
        <v>1</v>
      </c>
      <c r="L53" s="37" t="b">
        <v>0</v>
      </c>
      <c r="M53" s="37" t="b">
        <v>0</v>
      </c>
      <c r="N53" s="37" t="b">
        <v>0</v>
      </c>
      <c r="O53" s="37" t="b">
        <v>0</v>
      </c>
      <c r="P53" s="37" t="b">
        <v>0</v>
      </c>
      <c r="Q53" s="37" t="b">
        <v>0</v>
      </c>
      <c r="R53" s="32" t="b">
        <v>0</v>
      </c>
      <c r="S53" s="32" t="b">
        <v>0</v>
      </c>
      <c r="T53" s="32" t="b">
        <v>0</v>
      </c>
    </row>
    <row r="54" spans="1:20">
      <c r="A54" s="17">
        <f>ข้อสอบ!A52</f>
        <v>50</v>
      </c>
      <c r="B54" s="5" t="str">
        <f>ข้อสอบ!B52</f>
        <v>หลักการใดที่สำคัญที่สุดในการเก็บรวบรวมความต้องการจากผู้ใช้เพื่อให้เป็นไปตามจริยธรรม?</v>
      </c>
      <c r="C54" s="35" t="s">
        <v>28</v>
      </c>
      <c r="D54" s="32" t="b">
        <v>0</v>
      </c>
      <c r="E54" s="32" t="b">
        <v>1</v>
      </c>
      <c r="F54" s="32" t="b">
        <v>0</v>
      </c>
      <c r="G54" s="32" t="b">
        <v>0</v>
      </c>
      <c r="H54" s="32" t="b">
        <v>0</v>
      </c>
      <c r="I54" s="32" t="b">
        <v>0</v>
      </c>
      <c r="J54" s="37" t="b">
        <v>0</v>
      </c>
      <c r="K54" s="37" t="b">
        <v>0</v>
      </c>
      <c r="L54" s="37" t="b">
        <v>0</v>
      </c>
      <c r="M54" s="37" t="b">
        <v>0</v>
      </c>
      <c r="N54" s="37" t="b">
        <v>0</v>
      </c>
      <c r="O54" s="37" t="b">
        <v>0</v>
      </c>
      <c r="P54" s="37" t="b">
        <v>0</v>
      </c>
      <c r="Q54" s="37" t="b">
        <v>0</v>
      </c>
      <c r="R54" s="32" t="b">
        <v>0</v>
      </c>
      <c r="S54" s="32" t="b">
        <v>0</v>
      </c>
      <c r="T54" s="32" t="b">
        <v>1</v>
      </c>
    </row>
    <row r="55" spans="1:20">
      <c r="A55" s="17">
        <f>ข้อสอบ!A53</f>
        <v>51</v>
      </c>
      <c r="B55" t="str">
        <f>ข้อสอบ!B53</f>
        <v>หากลูกค้าระบุความต้องการให้ระบบสามารถดักจับข้อมูลการสนทนาของผู้ใช้โดยไม่แจ้งให้ทราบ วิศวกรซอฟต์แวร์ควรทำอย่างไร?</v>
      </c>
      <c r="C55" s="35" t="s">
        <v>28</v>
      </c>
      <c r="D55" s="32" t="b">
        <v>0</v>
      </c>
      <c r="E55" s="32" t="b">
        <v>0</v>
      </c>
      <c r="F55" s="32" t="b">
        <v>1</v>
      </c>
      <c r="G55" s="32" t="b">
        <v>0</v>
      </c>
      <c r="H55" s="32" t="b">
        <v>0</v>
      </c>
      <c r="I55" s="32" t="b">
        <v>0</v>
      </c>
      <c r="J55" s="37" t="b">
        <v>0</v>
      </c>
      <c r="K55" s="37" t="b">
        <v>0</v>
      </c>
      <c r="L55" s="37" t="b">
        <v>0</v>
      </c>
      <c r="M55" s="37" t="b">
        <v>0</v>
      </c>
      <c r="N55" s="37" t="b">
        <v>0</v>
      </c>
      <c r="O55" s="37" t="b">
        <v>0</v>
      </c>
      <c r="P55" s="37" t="b">
        <v>0</v>
      </c>
      <c r="Q55" s="37" t="b">
        <v>0</v>
      </c>
      <c r="R55" s="32" t="b">
        <v>0</v>
      </c>
      <c r="S55" s="32" t="b">
        <v>0</v>
      </c>
      <c r="T55" s="32" t="b">
        <v>1</v>
      </c>
    </row>
    <row r="56" spans="1:20" ht="40.799999999999997">
      <c r="A56" s="17">
        <f>ข้อสอบ!A54</f>
        <v>52</v>
      </c>
      <c r="B56" s="5" t="str">
        <f>ข้อสอบ!B54</f>
        <v>ข้อใดคือความเสี่ยงด้านจริยธรรมหลักของ AI Chatbot ที่ใช้ข้อมูลส่วนตัวผู้ใช้เพื่อปรับปรุงการตอบสนอง?</v>
      </c>
      <c r="C56" s="35" t="s">
        <v>28</v>
      </c>
      <c r="D56" s="32" t="b">
        <v>0</v>
      </c>
      <c r="E56" s="32" t="b">
        <v>0</v>
      </c>
      <c r="F56" s="32" t="b">
        <v>0</v>
      </c>
      <c r="G56" s="32" t="b">
        <v>1</v>
      </c>
      <c r="H56" s="32" t="b">
        <v>0</v>
      </c>
      <c r="I56" s="32" t="b">
        <v>0</v>
      </c>
      <c r="J56" s="37" t="b">
        <v>0</v>
      </c>
      <c r="K56" s="37" t="b">
        <v>0</v>
      </c>
      <c r="L56" s="37" t="b">
        <v>0</v>
      </c>
      <c r="M56" s="37" t="b">
        <v>0</v>
      </c>
      <c r="N56" s="37" t="b">
        <v>0</v>
      </c>
      <c r="O56" s="37" t="b">
        <v>0</v>
      </c>
      <c r="P56" s="37" t="b">
        <v>0</v>
      </c>
      <c r="Q56" s="37" t="b">
        <v>0</v>
      </c>
      <c r="R56" s="32" t="b">
        <v>0</v>
      </c>
      <c r="S56" s="32" t="b">
        <v>0</v>
      </c>
      <c r="T56" s="32" t="b">
        <v>1</v>
      </c>
    </row>
    <row r="57" spans="1:20" ht="40.799999999999997">
      <c r="A57" s="17">
        <f>ข้อสอบ!A55</f>
        <v>53</v>
      </c>
      <c r="B57" s="5" t="str">
        <f>ข้อสอบ!B55</f>
        <v>หากต้องพัฒนา AI Chatbot สำหรับบริการสุขภาพที่เก็บข้อมูลอาการป่วยผู้ใช้ ข้อใดคือแนวทางปฏิบัติที่ดีที่สุดเพื่อให้เป็นไปตามหลักจริยธรรม?</v>
      </c>
      <c r="C57" s="35" t="s">
        <v>28</v>
      </c>
      <c r="D57" s="32" t="b">
        <v>0</v>
      </c>
      <c r="E57" s="32" t="b">
        <v>0</v>
      </c>
      <c r="F57" s="32" t="b">
        <v>1</v>
      </c>
      <c r="G57" s="32" t="b">
        <v>0</v>
      </c>
      <c r="H57" s="32" t="b">
        <v>0</v>
      </c>
      <c r="I57" s="32" t="b">
        <v>0</v>
      </c>
      <c r="J57" s="37" t="b">
        <v>0</v>
      </c>
      <c r="K57" s="37" t="b">
        <v>0</v>
      </c>
      <c r="L57" s="37" t="b">
        <v>0</v>
      </c>
      <c r="M57" s="37" t="b">
        <v>0</v>
      </c>
      <c r="N57" s="37" t="b">
        <v>0</v>
      </c>
      <c r="O57" s="37" t="b">
        <v>0</v>
      </c>
      <c r="P57" s="37" t="b">
        <v>0</v>
      </c>
      <c r="Q57" s="37" t="b">
        <v>0</v>
      </c>
      <c r="R57" s="32" t="b">
        <v>0</v>
      </c>
      <c r="S57" s="32" t="b">
        <v>0</v>
      </c>
      <c r="T57" s="32" t="b">
        <v>1</v>
      </c>
    </row>
    <row r="58" spans="1:20" ht="40.799999999999997">
      <c r="A58" s="17">
        <f>ข้อสอบ!A56</f>
        <v>54</v>
      </c>
      <c r="B58" s="5" t="str">
        <f>ข้อสอบ!B56</f>
        <v>ข้อใดคือตัวอย่างความต้องการซอฟต์แวร์ที่เสี่ยงต่อการละเมิด มาตรา 5 พรบ.คอมพิวเตอร์ ว่าด้วยการเข้าถึงข้อมูลโดยไม่ชอบด้วยกฎหมาย?</v>
      </c>
      <c r="C58" s="35" t="s">
        <v>27</v>
      </c>
      <c r="D58" s="32" t="b">
        <v>0</v>
      </c>
      <c r="E58" s="32" t="b">
        <v>0</v>
      </c>
      <c r="F58" s="32" t="b">
        <v>0</v>
      </c>
      <c r="G58" s="32" t="b">
        <v>1</v>
      </c>
      <c r="H58" s="32" t="b">
        <v>0</v>
      </c>
      <c r="I58" s="32" t="b">
        <v>0</v>
      </c>
      <c r="J58" s="37" t="b">
        <v>0</v>
      </c>
      <c r="K58" s="37" t="b">
        <v>0</v>
      </c>
      <c r="L58" s="37" t="b">
        <v>0</v>
      </c>
      <c r="M58" s="37" t="b">
        <v>0</v>
      </c>
      <c r="N58" s="37" t="b">
        <v>0</v>
      </c>
      <c r="O58" s="37" t="b">
        <v>0</v>
      </c>
      <c r="P58" s="37" t="b">
        <v>0</v>
      </c>
      <c r="Q58" s="37" t="b">
        <v>0</v>
      </c>
      <c r="R58" s="32" t="b">
        <v>0</v>
      </c>
      <c r="S58" s="32" t="b">
        <v>0</v>
      </c>
      <c r="T58" s="32" t="b">
        <v>1</v>
      </c>
    </row>
    <row r="59" spans="1:20" ht="40.799999999999997">
      <c r="A59" s="17">
        <f>ข้อสอบ!A57</f>
        <v>55</v>
      </c>
      <c r="B59" s="5" t="str">
        <f>ข้อสอบ!B57</f>
        <v>หากต้องพัฒนาระบบเก็บประวัติการค้นหาของผู้ใช้ (Search History) ควรทำอย่างไรเพื่อไม่ให้ขัด มาตรา 26 พรบ.คอมพิวเตอร์ ว่าด้วยการเปิดเผยข้อมูลส่วนบุคคล?</v>
      </c>
      <c r="C59" s="35" t="s">
        <v>27</v>
      </c>
      <c r="D59" s="32" t="b">
        <v>0</v>
      </c>
      <c r="E59" s="32" t="b">
        <v>0</v>
      </c>
      <c r="F59" s="32" t="b">
        <v>1</v>
      </c>
      <c r="G59" s="32" t="b">
        <v>0</v>
      </c>
      <c r="H59" s="32" t="b">
        <v>0</v>
      </c>
      <c r="I59" s="32" t="b">
        <v>0</v>
      </c>
      <c r="J59" s="37" t="b">
        <v>0</v>
      </c>
      <c r="K59" s="37" t="b">
        <v>0</v>
      </c>
      <c r="L59" s="37" t="b">
        <v>0</v>
      </c>
      <c r="M59" s="37" t="b">
        <v>0</v>
      </c>
      <c r="N59" s="37" t="b">
        <v>0</v>
      </c>
      <c r="O59" s="37" t="b">
        <v>0</v>
      </c>
      <c r="P59" s="37" t="b">
        <v>0</v>
      </c>
      <c r="Q59" s="37" t="b">
        <v>0</v>
      </c>
      <c r="R59" s="32" t="b">
        <v>0</v>
      </c>
      <c r="S59" s="32" t="b">
        <v>0</v>
      </c>
      <c r="T59" s="32" t="b">
        <v>1</v>
      </c>
    </row>
    <row r="60" spans="1:20" ht="40.799999999999997">
      <c r="A60" s="17">
        <f>ข้อสอบ!A58</f>
        <v>56</v>
      </c>
      <c r="B60" s="5" t="str">
        <f>ข้อสอบ!B58</f>
        <v>ในการเก็บรวบรวมเอกสารสำหรับกระบวนการสำรวจความต้องการซอฟต์แวร์ เอกสารใดต่อไปนี้มีความสำคัญน้อยที่สุดสำหรับการวิเคราะห์ความต้องการเบื้องต้น?</v>
      </c>
      <c r="C60" s="35" t="s">
        <v>30</v>
      </c>
      <c r="D60" s="32" t="b">
        <v>0</v>
      </c>
      <c r="E60" s="32" t="b">
        <v>0</v>
      </c>
      <c r="F60" s="32" t="b">
        <v>0</v>
      </c>
      <c r="G60" s="32" t="b">
        <v>1</v>
      </c>
      <c r="H60" s="32" t="b">
        <v>0</v>
      </c>
      <c r="I60" s="32" t="b">
        <v>0</v>
      </c>
      <c r="J60" s="37" t="b">
        <v>0</v>
      </c>
      <c r="K60" s="37" t="b">
        <v>1</v>
      </c>
      <c r="L60" s="37" t="b">
        <v>0</v>
      </c>
      <c r="M60" s="37" t="b">
        <v>0</v>
      </c>
      <c r="N60" s="37" t="b">
        <v>0</v>
      </c>
      <c r="O60" s="37" t="b">
        <v>0</v>
      </c>
      <c r="P60" s="37" t="b">
        <v>0</v>
      </c>
      <c r="Q60" s="37" t="b">
        <v>0</v>
      </c>
      <c r="R60" s="32" t="b">
        <v>0</v>
      </c>
      <c r="S60" s="32" t="b">
        <v>0</v>
      </c>
      <c r="T60" s="32" t="b">
        <v>0</v>
      </c>
    </row>
    <row r="61" spans="1:20" ht="40.799999999999997">
      <c r="A61" s="17">
        <f>ข้อสอบ!A59</f>
        <v>57</v>
      </c>
      <c r="B61" s="5" t="str">
        <f>ข้อสอบ!B59</f>
        <v>ท่านได้รับมอบหมายให้จัดการเอกสารความต้องการสำหรับเว็บแอปพลิเคชันขายหนังสือออนไลน์ ข้อใดคือลำดับการดำเนินการที่ถูกต้องที่สุด?</v>
      </c>
      <c r="C61" s="35" t="s">
        <v>27</v>
      </c>
      <c r="D61" s="32" t="b">
        <v>0</v>
      </c>
      <c r="E61" s="32" t="b">
        <v>0</v>
      </c>
      <c r="F61" s="32" t="b">
        <v>0</v>
      </c>
      <c r="G61" s="32" t="b">
        <v>1</v>
      </c>
      <c r="H61" s="32" t="b">
        <v>0</v>
      </c>
      <c r="I61" s="32" t="b">
        <v>0</v>
      </c>
      <c r="J61" s="37" t="b">
        <v>0</v>
      </c>
      <c r="K61" s="37" t="b">
        <v>1</v>
      </c>
      <c r="L61" s="37" t="b">
        <v>0</v>
      </c>
      <c r="M61" s="37" t="b">
        <v>0</v>
      </c>
      <c r="N61" s="37" t="b">
        <v>0</v>
      </c>
      <c r="O61" s="37" t="b">
        <v>0</v>
      </c>
      <c r="P61" s="37" t="b">
        <v>0</v>
      </c>
      <c r="Q61" s="37" t="b">
        <v>0</v>
      </c>
      <c r="R61" s="32" t="b">
        <v>0</v>
      </c>
      <c r="S61" s="32" t="b">
        <v>0</v>
      </c>
      <c r="T61" s="32" t="b">
        <v>0</v>
      </c>
    </row>
    <row r="62" spans="1:20" ht="40.799999999999997">
      <c r="A62" s="17">
        <f>ข้อสอบ!A60</f>
        <v>58</v>
      </c>
      <c r="B62" s="5" t="str">
        <f>ข้อสอบ!B60</f>
        <v xml:space="preserve"> ข้อใดคือลักษณะเฉพาะที่สำคัญที่สุดของ RUP ที่แตกต่างจากแบบจำลองกระบวนการพัฒนาซอฟต์แวร์แบบน้ำตก (Waterfall Model)?</v>
      </c>
      <c r="C62" s="35" t="s">
        <v>29</v>
      </c>
      <c r="D62" s="32" t="b">
        <v>0</v>
      </c>
      <c r="E62" s="32" t="b">
        <v>0</v>
      </c>
      <c r="F62" s="32" t="b">
        <v>0</v>
      </c>
      <c r="G62" s="32" t="b">
        <v>1</v>
      </c>
      <c r="H62" s="32" t="b">
        <v>0</v>
      </c>
      <c r="I62" s="32" t="b">
        <v>0</v>
      </c>
      <c r="J62" s="37" t="b">
        <v>1</v>
      </c>
      <c r="K62" s="37" t="b">
        <v>0</v>
      </c>
      <c r="L62" s="37" t="b">
        <v>0</v>
      </c>
      <c r="M62" s="37" t="b">
        <v>0</v>
      </c>
      <c r="N62" s="37" t="b">
        <v>0</v>
      </c>
      <c r="O62" s="37" t="b">
        <v>0</v>
      </c>
      <c r="P62" s="37" t="b">
        <v>0</v>
      </c>
      <c r="Q62" s="37" t="b">
        <v>0</v>
      </c>
      <c r="R62" s="32" t="b">
        <v>0</v>
      </c>
      <c r="S62" s="32" t="b">
        <v>0</v>
      </c>
      <c r="T62" s="32" t="b">
        <v>0</v>
      </c>
    </row>
    <row r="63" spans="1:20" ht="40.799999999999997">
      <c r="A63" s="17">
        <f>ข้อสอบ!A61</f>
        <v>59</v>
      </c>
      <c r="B63" s="5" t="str">
        <f>ข้อสอบ!B61</f>
        <v>ท่านได้รับมอบหมายให้ใช้ RUP พัฒนาระบบจองห้องพักออนไลน์ ข้อใดคือลำดับการดำเนินการที่ถูกต้องสำหรับ Iteration แรก?</v>
      </c>
      <c r="C63" s="35" t="s">
        <v>28</v>
      </c>
      <c r="D63" s="32" t="b">
        <v>0</v>
      </c>
      <c r="E63" s="32" t="b">
        <v>0</v>
      </c>
      <c r="F63" s="32" t="b">
        <v>1</v>
      </c>
      <c r="G63" s="32" t="b">
        <v>0</v>
      </c>
      <c r="H63" s="32" t="b">
        <v>0</v>
      </c>
      <c r="I63" s="32" t="b">
        <v>0</v>
      </c>
      <c r="J63" s="37" t="b">
        <v>1</v>
      </c>
      <c r="K63" s="37" t="b">
        <v>0</v>
      </c>
      <c r="L63" s="37" t="b">
        <v>0</v>
      </c>
      <c r="M63" s="37" t="b">
        <v>0</v>
      </c>
      <c r="N63" s="37" t="b">
        <v>0</v>
      </c>
      <c r="O63" s="37" t="b">
        <v>0</v>
      </c>
      <c r="P63" s="37" t="b">
        <v>0</v>
      </c>
      <c r="Q63" s="37" t="b">
        <v>0</v>
      </c>
      <c r="R63" s="32" t="b">
        <v>0</v>
      </c>
      <c r="S63" s="32" t="b">
        <v>0</v>
      </c>
      <c r="T63" s="32" t="b">
        <v>0</v>
      </c>
    </row>
    <row r="64" spans="1:20">
      <c r="A64" s="17">
        <f>ข้อสอบ!A62</f>
        <v>60</v>
      </c>
      <c r="B64" s="5" t="str">
        <f>ข้อสอบ!B62</f>
        <v xml:space="preserve"> Process Area ใดใน CMMI ที่เกี่ยวข้องกับการใช้ Usecase model?</v>
      </c>
      <c r="C64" s="35" t="s">
        <v>27</v>
      </c>
      <c r="D64" s="32" t="b">
        <v>0</v>
      </c>
      <c r="E64" s="32" t="b">
        <v>1</v>
      </c>
      <c r="F64" s="32" t="b">
        <v>0</v>
      </c>
      <c r="G64" s="32" t="b">
        <v>0</v>
      </c>
      <c r="H64" s="32" t="b">
        <v>0</v>
      </c>
      <c r="I64" s="32" t="b">
        <v>0</v>
      </c>
      <c r="J64" s="37" t="b">
        <v>1</v>
      </c>
      <c r="K64" s="37" t="b">
        <v>0</v>
      </c>
      <c r="L64" s="37" t="b">
        <v>0</v>
      </c>
      <c r="M64" s="37" t="b">
        <v>0</v>
      </c>
      <c r="N64" s="37" t="b">
        <v>0</v>
      </c>
      <c r="O64" s="37" t="b">
        <v>0</v>
      </c>
      <c r="P64" s="37" t="b">
        <v>0</v>
      </c>
      <c r="Q64" s="37" t="b">
        <v>0</v>
      </c>
      <c r="R64" s="32" t="b">
        <v>0</v>
      </c>
      <c r="S64" s="32" t="b">
        <v>0</v>
      </c>
      <c r="T64" s="32" t="b">
        <v>0</v>
      </c>
    </row>
    <row r="65" spans="1:1">
      <c r="A65" s="17"/>
    </row>
    <row r="66" spans="1:1">
      <c r="A66" s="17"/>
    </row>
    <row r="67" spans="1:1">
      <c r="A67" s="17"/>
    </row>
    <row r="68" spans="1:1">
      <c r="A68" s="17"/>
    </row>
    <row r="69" spans="1:1">
      <c r="A69" s="17"/>
    </row>
    <row r="70" spans="1:1">
      <c r="A70" s="17"/>
    </row>
    <row r="71" spans="1:1">
      <c r="A71" s="17"/>
    </row>
    <row r="72" spans="1:1">
      <c r="A72" s="17"/>
    </row>
    <row r="73" spans="1:1">
      <c r="A73" s="17"/>
    </row>
    <row r="74" spans="1:1">
      <c r="A74" s="17"/>
    </row>
    <row r="75" spans="1:1">
      <c r="A75" s="17"/>
    </row>
    <row r="76" spans="1:1">
      <c r="A76" s="17"/>
    </row>
    <row r="77" spans="1:1">
      <c r="A77" s="17"/>
    </row>
    <row r="78" spans="1:1">
      <c r="A78" s="17"/>
    </row>
    <row r="79" spans="1:1">
      <c r="A79" s="17"/>
    </row>
    <row r="80" spans="1:1">
      <c r="A80" s="17"/>
    </row>
    <row r="81" spans="1:1">
      <c r="A81" s="17"/>
    </row>
    <row r="82" spans="1:1">
      <c r="A82" s="17"/>
    </row>
    <row r="83" spans="1:1">
      <c r="A83" s="17"/>
    </row>
    <row r="84" spans="1:1">
      <c r="A84" s="17"/>
    </row>
    <row r="85" spans="1:1">
      <c r="A85" s="17"/>
    </row>
    <row r="86" spans="1:1">
      <c r="A86" s="17"/>
    </row>
    <row r="87" spans="1:1">
      <c r="A87" s="17"/>
    </row>
    <row r="88" spans="1:1">
      <c r="A88" s="17"/>
    </row>
    <row r="89" spans="1:1">
      <c r="A89" s="17"/>
    </row>
    <row r="90" spans="1:1">
      <c r="A90" s="17"/>
    </row>
    <row r="91" spans="1:1">
      <c r="A91" s="17"/>
    </row>
    <row r="92" spans="1:1">
      <c r="A92" s="17"/>
    </row>
    <row r="93" spans="1:1">
      <c r="A93" s="17"/>
    </row>
    <row r="94" spans="1:1">
      <c r="A94" s="17"/>
    </row>
    <row r="95" spans="1:1">
      <c r="A95" s="17"/>
    </row>
  </sheetData>
  <mergeCells count="2">
    <mergeCell ref="J2:Q2"/>
    <mergeCell ref="D2:I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5</vt:i4>
      </vt:variant>
    </vt:vector>
  </HeadingPairs>
  <TitlesOfParts>
    <vt:vector size="5" baseType="lpstr">
      <vt:lpstr>Cover</vt:lpstr>
      <vt:lpstr>ข้อสอบ</vt:lpstr>
      <vt:lpstr>ข้อมูล</vt:lpstr>
      <vt:lpstr>กระดาษทด</vt:lpstr>
      <vt:lpstr>TeacherNote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Sarayut Chaisuriya</dc:creator>
  <cp:keywords/>
  <dc:description/>
  <cp:lastModifiedBy>Wannapa Panchiya</cp:lastModifiedBy>
  <cp:revision/>
  <dcterms:created xsi:type="dcterms:W3CDTF">2025-06-26T20:57:43Z</dcterms:created>
  <dcterms:modified xsi:type="dcterms:W3CDTF">2025-08-29T09:57:58Z</dcterms:modified>
  <cp:category/>
  <cp:contentStatus/>
</cp:coreProperties>
</file>